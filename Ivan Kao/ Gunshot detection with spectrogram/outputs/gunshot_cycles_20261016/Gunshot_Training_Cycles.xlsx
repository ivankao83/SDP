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25eea33d894c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test model" sheetId="1" r:id="R875f633d4ced4bbc"/>
    <x:sheet xmlns:r="http://schemas.openxmlformats.org/officeDocument/2006/relationships" name="New cycles" sheetId="2" r:id="Rc112116d647441c2"/>
    <x:sheet xmlns:r="http://schemas.openxmlformats.org/officeDocument/2006/relationships" name="Earlier results" sheetId="3" r:id="R50077354e64d47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00"/>
    <x:numFmt numFmtId="202" formatCode="0.00"/>
    <x:numFmt numFmtId="203" formatCode="#,##0"/>
  </x:numFmts>
  <x:fonts count="9">
    <x:font>
      <x:sz val="11"/>
      <x:name val="Carlito"/>
    </x:font>
    <x:font>
      <x:sz val="10"/>
      <x:color rgb="FF172B4D"/>
      <x:name val="Arial"/>
    </x:font>
    <x:font>
      <x:b/>
      <x:sz val="15"/>
      <x:color rgb="FF172B4D"/>
      <x:name val="Arial"/>
    </x:font>
    <x:font>
      <x:i/>
      <x:sz val="10"/>
      <x:color rgb="FF52627A"/>
      <x:name val="Arial"/>
    </x:font>
    <x:font>
      <x:b/>
      <x:sz val="12"/>
      <x:color rgb="FF172B4D"/>
      <x:name val="Arial"/>
    </x:font>
    <x:font>
      <x:b/>
      <x:sz val="10"/>
      <x:color rgb="FFFFFFFF"/>
      <x:name val="Arial"/>
    </x:font>
    <x:font>
      <x:sz val="10"/>
      <x:color rgb="FF52627A"/>
      <x:name val="Arial"/>
    </x:font>
    <x:font>
      <x:b/>
      <x:sz val="10"/>
      <x:color rgb="FF172B4D"/>
      <x:name val="Arial"/>
    </x:font>
    <x:font>
      <x:b/>
      <x:sz val="10"/>
      <x:color rgb="FF52627A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B64"/>
      </x:patternFill>
    </x:fill>
    <x:fill>
      <x:patternFill patternType="solid">
        <x:fgColor rgb="FFEEF2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83b8a097b4273" /><Relationship Type="http://schemas.openxmlformats.org/officeDocument/2006/relationships/theme" Target="/xl/theme/theme1.xml" Id="Rdf3515c1d73640d0" /><Relationship Type="http://schemas.openxmlformats.org/officeDocument/2006/relationships/sharedStrings" Target="/xl/sharedStrings.xml" Id="Rf4803325dc2b4f04" /><Relationship Type="http://schemas.openxmlformats.org/officeDocument/2006/relationships/worksheet" Target="/xl/worksheets/sheet1.xml" Id="R875f633d4ced4bbc" /><Relationship Type="http://schemas.openxmlformats.org/officeDocument/2006/relationships/worksheet" Target="/xl/worksheets/sheet2.xml" Id="Rc112116d647441c2" /><Relationship Type="http://schemas.openxmlformats.org/officeDocument/2006/relationships/worksheet" Target="/xl/worksheets/sheet3.xml" Id="R50077354e64d47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B64"/>
  </x:sheetPr>
  <x:sheetViews>
    <x:sheetView showGridLines="0" workbookViewId="0"/>
  </x:sheetViews>
  <x:sheetFormatPr defaultRowHeight="15"/>
  <x:cols>
    <x:col min="1" max="1" width="22.780000686645508" hidden="0" customWidth="1"/>
    <x:col min="2" max="2" width="12.220000267028809" hidden="0" customWidth="1"/>
    <x:col min="3" max="3" width="13.890000343322754" hidden="0" customWidth="1"/>
    <x:col min="4" max="4" width="13.890000343322754" hidden="0" customWidth="1"/>
    <x:col min="5" max="5" width="13.890000343322754" hidden="0" customWidth="1"/>
    <x:col min="6" max="6" width="13.890000343322754" hidden="0" customWidth="1"/>
    <x:col min="7" max="7" width="13.890000343322754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Latest model on held-out recordings</x:v>
      </x:c>
      <x:c r="B2" s="2"/>
      <x:c r="C2" s="2"/>
      <x:c r="D2" s="2"/>
      <x:c r="E2" s="2"/>
      <x:c r="F2" s="2"/>
      <x:c r="G2" s="2"/>
    </x:row>
    <x:row r="3" ht="23" customHeight="1">
      <x:c r="A3" s="4" t="str">
        <x:v>Frozen final checkpoint. Test recordings were excluded from training and threshold selection.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7" customHeight="1">
      <x:c r="A5" s="8" t="str">
        <x:v>Dataset</x:v>
      </x:c>
      <x:c r="B5" s="8" t="str">
        <x:v>Files</x:v>
      </x:c>
      <x:c r="C5" s="8" t="str">
        <x:v>Accuracy</x:v>
      </x:c>
      <x:c r="D5" s="8" t="str">
        <x:v>Gunshot recall</x:v>
      </x:c>
      <x:c r="E5" s="8" t="str">
        <x:v>False-positive rate</x:v>
      </x:c>
      <x:c r="F5" s="8" t="str">
        <x:v>Gunshot F1</x:v>
      </x:c>
      <x:c r="G5" s="8" t="str">
        <x:v>Threshold</x:v>
      </x:c>
    </x:row>
    <x:row r="6" ht="23" customHeight="1">
      <x:c r="A6" s="18" t="str">
        <x:v>SESA</x:v>
      </x:c>
      <x:c r="B6" s="19" t="n">
        <x:f>SUM(B18:E18)</x:f>
        <x:v>105</x:v>
      </x:c>
      <x:c r="C6" s="20" t="n">
        <x:f>IF(OR(B18+C18=0,D18+E18=0),"n.a.",(B18+E18)/B6)</x:f>
        <x:v>0.9333333333333333</x:v>
      </x:c>
      <x:c r="D6" s="20" t="n">
        <x:f>IF(B18+C18=0,"n.a.",B18/(B18+C18))</x:f>
        <x:v>0.9047619047619048</x:v>
      </x:c>
      <x:c r="E6" s="20" t="n">
        <x:f>IF(D18+E18=0,"n.a.",D18/(D18+E18))</x:f>
        <x:v>0.05952380952380952</x:v>
      </x:c>
      <x:c r="F6" s="20" t="n">
        <x:f>IF(OR(B18+C18=0,D18+E18=0),"n.a.",2*B18/(2*B18+C18+D18))</x:f>
        <x:v>0.8444444444444444</x:v>
      </x:c>
      <x:c r="G6" s="29" t="n">
        <x:v>0.30999999999999994</x:v>
      </x:c>
    </x:row>
    <x:row r="7" ht="23" customHeight="1">
      <x:c r="A7" s="2" t="str">
        <x:v>FSDD</x:v>
      </x:c>
      <x:c r="B7" s="13" t="n">
        <x:f>SUM(B19:E19)</x:f>
        <x:v>500</x:v>
      </x:c>
      <x:c r="C7" s="15" t="str">
        <x:f>IF(OR(B19+C19=0,D19+E19=0),"n.a.",(B19+E19)/B7)</x:f>
        <x:v>n.a.</x:v>
      </x:c>
      <x:c r="D7" s="15" t="str">
        <x:f>IF(B19+C19=0,"n.a.",B19/(B19+C19))</x:f>
        <x:v>n.a.</x:v>
      </x:c>
      <x:c r="E7" s="15" t="n">
        <x:f>IF(D19+E19=0,"n.a.",D19/(D19+E19))</x:f>
        <x:v>0.026</x:v>
      </x:c>
      <x:c r="F7" s="15" t="str">
        <x:f>IF(OR(B19+C19=0,D19+E19=0),"n.a.",2*B19/(2*B19+C19+D19))</x:f>
        <x:v>n.a.</x:v>
      </x:c>
      <x:c r="G7" s="17" t="n">
        <x:v>0.30999999999999994</x:v>
      </x:c>
    </x:row>
    <x:row r="8" ht="23" customHeight="1">
      <x:c r="A8" s="18" t="str">
        <x:v>EDGE</x:v>
      </x:c>
      <x:c r="B8" s="19" t="n">
        <x:f>SUM(B20:E20)</x:f>
        <x:v>89</x:v>
      </x:c>
      <x:c r="C8" s="20" t="str">
        <x:f>IF(OR(B20+C20=0,D20+E20=0),"n.a.",(B20+E20)/B8)</x:f>
        <x:v>n.a.</x:v>
      </x:c>
      <x:c r="D8" s="20" t="n">
        <x:f>IF(B20+C20=0,"n.a.",B20/(B20+C20))</x:f>
        <x:v>0.5393258426966292</x:v>
      </x:c>
      <x:c r="E8" s="20" t="str">
        <x:f>IF(D20+E20=0,"n.a.",D20/(D20+E20))</x:f>
        <x:v>n.a.</x:v>
      </x:c>
      <x:c r="F8" s="20" t="str">
        <x:f>IF(OR(B20+C20=0,D20+E20=0),"n.a.",2*B20/(2*B20+C20+D20))</x:f>
        <x:v>n.a.</x:v>
      </x:c>
      <x:c r="G8" s="29" t="n">
        <x:v>0.30999999999999994</x:v>
      </x:c>
    </x:row>
    <x:row r="9" ht="23" customHeight="1">
      <x:c r="A9" s="2" t="str">
        <x:v>UrbanSound8K</x:v>
      </x:c>
      <x:c r="B9" s="13" t="n">
        <x:f>SUM(B21:E21)</x:f>
        <x:v>110</x:v>
      </x:c>
      <x:c r="C9" s="15" t="n">
        <x:f>IF(OR(B21+C21=0,D21+E21=0),"n.a.",(B21+E21)/B9)</x:f>
        <x:v>0.9636363636363636</x:v>
      </x:c>
      <x:c r="D9" s="15" t="n">
        <x:f>IF(B21+C21=0,"n.a.",B21/(B21+C21))</x:f>
        <x:v>0.9090909090909091</x:v>
      </x:c>
      <x:c r="E9" s="15" t="n">
        <x:f>IF(D21+E21=0,"n.a.",D21/(D21+E21))</x:f>
        <x:v>0.022727272727272728</x:v>
      </x:c>
      <x:c r="F9" s="15" t="n">
        <x:f>IF(OR(B21+C21=0,D21+E21=0),"n.a.",2*B21/(2*B21+C21+D21))</x:f>
        <x:v>0.9090909090909091</x:v>
      </x:c>
      <x:c r="G9" s="17" t="n">
        <x:v>0.30999999999999994</x:v>
      </x:c>
    </x:row>
    <x:row r="10" ht="23" customHeight="1">
      <x:c r="A10" s="18" t="str">
        <x:v>Original</x:v>
      </x:c>
      <x:c r="B10" s="19" t="n">
        <x:f>SUM(B22:E22)</x:f>
        <x:v>1682</x:v>
      </x:c>
      <x:c r="C10" s="20" t="n">
        <x:f>IF(OR(B22+C22=0,D22+E22=0),"n.a.",(B22+E22)/B10)</x:f>
        <x:v>0.985731272294887</x:v>
      </x:c>
      <x:c r="D10" s="20" t="n">
        <x:f>IF(B22+C22=0,"n.a.",B22/(B22+C22))</x:f>
        <x:v>1</x:v>
      </x:c>
      <x:c r="E10" s="20" t="n">
        <x:f>IF(D22+E22=0,"n.a.",D22/(D22+E22))</x:f>
        <x:v>0.020689655172413793</x:v>
      </x:c>
      <x:c r="F10" s="20" t="n">
        <x:f>IF(OR(B22+C22=0,D22+E22=0),"n.a.",2*B22/(2*B22+C22+D22))</x:f>
        <x:v>0.9775280898876404</x:v>
      </x:c>
      <x:c r="G10" s="29" t="n">
        <x:v>0.30999999999999994</x:v>
      </x:c>
    </x:row>
    <x:row r="11" ht="23" customHeight="1">
      <x:c r="A11" s="2" t="str">
        <x:v>MAD</x:v>
      </x:c>
      <x:c r="B11" s="13" t="n">
        <x:f>SUM(B23:E23)</x:f>
        <x:v>1037</x:v>
      </x:c>
      <x:c r="C11" s="15" t="n">
        <x:f>IF(OR(B23+C23=0,D23+E23=0),"n.a.",(B23+E23)/B11)</x:f>
        <x:v>0.9286403085824494</x:v>
      </x:c>
      <x:c r="D11" s="15" t="n">
        <x:f>IF(B23+C23=0,"n.a.",B23/(B23+C23))</x:f>
        <x:v>0.8714285714285714</x:v>
      </x:c>
      <x:c r="E11" s="15" t="n">
        <x:f>IF(D23+E23=0,"n.a.",D23/(D23+E23))</x:f>
        <x:v>0.05019815059445178</x:v>
      </x:c>
      <x:c r="F11" s="15" t="n">
        <x:f>IF(OR(B23+C23=0,D23+E23=0),"n.a.",2*B23/(2*B23+C23+D23))</x:f>
        <x:v>0.8683274021352313</x:v>
      </x:c>
      <x:c r="G11" s="17" t="n">
        <x:v>0.30999999999999994</x:v>
      </x:c>
    </x:row>
    <x:row r="12" ht="23" customHeight="1">
      <x:c r="A12" s="18" t="str">
        <x:v>ShotSpotter</x:v>
      </x:c>
      <x:c r="B12" s="19" t="n">
        <x:f>SUM(B24:E24)</x:f>
        <x:v>765</x:v>
      </x:c>
      <x:c r="C12" s="20" t="str">
        <x:f>IF(OR(B24+C24=0,D24+E24=0),"n.a.",(B24+E24)/B12)</x:f>
        <x:v>n.a.</x:v>
      </x:c>
      <x:c r="D12" s="20" t="n">
        <x:f>IF(B24+C24=0,"n.a.",B24/(B24+C24))</x:f>
        <x:v>0.4954248366013072</x:v>
      </x:c>
      <x:c r="E12" s="20" t="str">
        <x:f>IF(D24+E24=0,"n.a.",D24/(D24+E24))</x:f>
        <x:v>n.a.</x:v>
      </x:c>
      <x:c r="F12" s="20" t="str">
        <x:f>IF(OR(B24+C24=0,D24+E24=0),"n.a.",2*B24/(2*B24+C24+D24))</x:f>
        <x:v>n.a.</x:v>
      </x:c>
      <x:c r="G12" s="29" t="n">
        <x:v>0.30999999999999994</x:v>
      </x:c>
    </x:row>
    <x:row r="13" ht="23" customHeight="1">
      <x:c r="A13" s="2" t="str">
        <x:v>C3GD</x:v>
      </x:c>
      <x:c r="B13" s="13" t="n">
        <x:f>SUM(B25:E25)</x:f>
        <x:v>4103</x:v>
      </x:c>
      <x:c r="C13" s="15" t="str">
        <x:f>IF(OR(B25+C25=0,D25+E25=0),"n.a.",(B25+E25)/B13)</x:f>
        <x:v>n.a.</x:v>
      </x:c>
      <x:c r="D13" s="15" t="n">
        <x:f>IF(B25+C25=0,"n.a.",B25/(B25+C25))</x:f>
        <x:v>0.9890324153058737</x:v>
      </x:c>
      <x:c r="E13" s="15" t="str">
        <x:f>IF(D25+E25=0,"n.a.",D25/(D25+E25))</x:f>
        <x:v>n.a.</x:v>
      </x:c>
      <x:c r="F13" s="15" t="str">
        <x:f>IF(OR(B25+C25=0,D25+E25=0),"n.a.",2*B25/(2*B25+C25+D25))</x:f>
        <x:v>n.a.</x:v>
      </x:c>
      <x:c r="G13" s="17" t="n">
        <x:v>0.30999999999999994</x:v>
      </x:c>
    </x:row>
    <x:row r="14" ht="23" customHeight="1">
      <x:c r="A14" s="2"/>
      <x:c r="B14" s="2"/>
      <x:c r="C14" s="2"/>
      <x:c r="D14" s="2"/>
      <x:c r="E14" s="2"/>
      <x:c r="F14" s="2"/>
      <x:c r="G14" s="2"/>
    </x:row>
    <x:row r="15" ht="23" customHeight="1">
      <x:c r="A15" s="2"/>
      <x:c r="B15" s="2"/>
      <x:c r="C15" s="2"/>
      <x:c r="D15" s="2"/>
      <x:c r="E15" s="2"/>
      <x:c r="F15" s="2"/>
      <x:c r="G15" s="2"/>
    </x:row>
    <x:row r="16" ht="23" customHeight="1">
      <x:c r="A16" s="2"/>
      <x:c r="B16" s="2"/>
      <x:c r="C16" s="2"/>
      <x:c r="D16" s="2"/>
      <x:c r="E16" s="2"/>
      <x:c r="F16" s="2"/>
      <x:c r="G16" s="2"/>
    </x:row>
    <x:row r="17" ht="27" customHeight="1">
      <x:c r="A17" s="8" t="str">
        <x:v>Dataset</x:v>
      </x:c>
      <x:c r="B17" s="8" t="str">
        <x:v>Detected</x:v>
      </x:c>
      <x:c r="C17" s="8" t="str">
        <x:v>Missed</x:v>
      </x:c>
      <x:c r="D17" s="8" t="str">
        <x:v>False alarms</x:v>
      </x:c>
      <x:c r="E17" s="8" t="str">
        <x:v>Correct negatives</x:v>
      </x:c>
      <x:c r="F17" s="8" t="str">
        <x:v>Precision</x:v>
      </x:c>
      <x:c r="G17" s="8" t="str">
        <x:v>ROC AUC</x:v>
      </x:c>
    </x:row>
    <x:row r="18" ht="23" customHeight="1">
      <x:c r="A18" s="18" t="str">
        <x:v>SESA</x:v>
      </x:c>
      <x:c r="B18" s="19" t="n">
        <x:v>19</x:v>
      </x:c>
      <x:c r="C18" s="19" t="n">
        <x:v>2</x:v>
      </x:c>
      <x:c r="D18" s="19" t="n">
        <x:v>5</x:v>
      </x:c>
      <x:c r="E18" s="19" t="n">
        <x:v>79</x:v>
      </x:c>
      <x:c r="F18" s="20" t="n">
        <x:f>IF(OR(B18+C18=0,D18+E18=0,B18+D18=0),"n.a.",B18/(B18+D18))</x:f>
        <x:v>0.7916666666666666</x:v>
      </x:c>
      <x:c r="G18" s="21" t="n">
        <x:v>0.976190476190476</x:v>
      </x:c>
    </x:row>
    <x:row r="19" ht="23" customHeight="1">
      <x:c r="A19" s="2" t="str">
        <x:v>FSDD</x:v>
      </x:c>
      <x:c r="B19" s="13" t="n">
        <x:v>0</x:v>
      </x:c>
      <x:c r="C19" s="13" t="n">
        <x:v>0</x:v>
      </x:c>
      <x:c r="D19" s="13" t="n">
        <x:v>13</x:v>
      </x:c>
      <x:c r="E19" s="13" t="n">
        <x:v>487</x:v>
      </x:c>
      <x:c r="F19" s="15" t="str">
        <x:f>IF(OR(B19+C19=0,D19+E19=0,B19+D19=0),"n.a.",B19/(B19+D19))</x:f>
        <x:v>n.a.</x:v>
      </x:c>
      <x:c r="G19" s="16" t="str">
        <x:v>n.a.</x:v>
      </x:c>
    </x:row>
    <x:row r="20" ht="23" customHeight="1">
      <x:c r="A20" s="18" t="str">
        <x:v>EDGE</x:v>
      </x:c>
      <x:c r="B20" s="19" t="n">
        <x:v>48</x:v>
      </x:c>
      <x:c r="C20" s="19" t="n">
        <x:v>41</x:v>
      </x:c>
      <x:c r="D20" s="19" t="n">
        <x:v>0</x:v>
      </x:c>
      <x:c r="E20" s="19" t="n">
        <x:v>0</x:v>
      </x:c>
      <x:c r="F20" s="20" t="str">
        <x:f>IF(OR(B20+C20=0,D20+E20=0,B20+D20=0),"n.a.",B20/(B20+D20))</x:f>
        <x:v>n.a.</x:v>
      </x:c>
      <x:c r="G20" s="21" t="str">
        <x:v>n.a.</x:v>
      </x:c>
    </x:row>
    <x:row r="21" ht="23" customHeight="1">
      <x:c r="A21" s="2" t="str">
        <x:v>UrbanSound8K</x:v>
      </x:c>
      <x:c r="B21" s="13" t="n">
        <x:v>20</x:v>
      </x:c>
      <x:c r="C21" s="13" t="n">
        <x:v>2</x:v>
      </x:c>
      <x:c r="D21" s="13" t="n">
        <x:v>2</x:v>
      </x:c>
      <x:c r="E21" s="13" t="n">
        <x:v>86</x:v>
      </x:c>
      <x:c r="F21" s="15" t="n">
        <x:f>IF(OR(B21+C21=0,D21+E21=0,B21+D21=0),"n.a.",B21/(B21+D21))</x:f>
        <x:v>0.9090909090909091</x:v>
      </x:c>
      <x:c r="G21" s="16" t="n">
        <x:v>0.9922520661157025</x:v>
      </x:c>
    </x:row>
    <x:row r="22" ht="23" customHeight="1">
      <x:c r="A22" s="18" t="str">
        <x:v>Original</x:v>
      </x:c>
      <x:c r="B22" s="19" t="n">
        <x:v>522</x:v>
      </x:c>
      <x:c r="C22" s="19" t="n">
        <x:v>0</x:v>
      </x:c>
      <x:c r="D22" s="19" t="n">
        <x:v>24</x:v>
      </x:c>
      <x:c r="E22" s="19" t="n">
        <x:v>1136</x:v>
      </x:c>
      <x:c r="F22" s="20" t="n">
        <x:f>IF(OR(B22+C22=0,D22+E22=0,B22+D22=0),"n.a.",B22/(B22+D22))</x:f>
        <x:v>0.9560439560439561</x:v>
      </x:c>
      <x:c r="G22" s="21" t="n">
        <x:v>0.9993592284317611</x:v>
      </x:c>
    </x:row>
    <x:row r="23" ht="23" customHeight="1">
      <x:c r="A23" s="2" t="str">
        <x:v>MAD</x:v>
      </x:c>
      <x:c r="B23" s="13" t="n">
        <x:v>244</x:v>
      </x:c>
      <x:c r="C23" s="13" t="n">
        <x:v>36</x:v>
      </x:c>
      <x:c r="D23" s="13" t="n">
        <x:v>38</x:v>
      </x:c>
      <x:c r="E23" s="13" t="n">
        <x:v>719</x:v>
      </x:c>
      <x:c r="F23" s="15" t="n">
        <x:f>IF(OR(B23+C23=0,D23+E23=0,B23+D23=0),"n.a.",B23/(B23+D23))</x:f>
        <x:v>0.8652482269503546</x:v>
      </x:c>
      <x:c r="G23" s="16" t="n">
        <x:v>0.9742262691073789</x:v>
      </x:c>
    </x:row>
    <x:row r="24" ht="23" customHeight="1">
      <x:c r="A24" s="18" t="str">
        <x:v>ShotSpotter</x:v>
      </x:c>
      <x:c r="B24" s="19" t="n">
        <x:v>379</x:v>
      </x:c>
      <x:c r="C24" s="19" t="n">
        <x:v>386</x:v>
      </x:c>
      <x:c r="D24" s="19" t="n">
        <x:v>0</x:v>
      </x:c>
      <x:c r="E24" s="19" t="n">
        <x:v>0</x:v>
      </x:c>
      <x:c r="F24" s="20" t="str">
        <x:f>IF(OR(B24+C24=0,D24+E24=0,B24+D24=0),"n.a.",B24/(B24+D24))</x:f>
        <x:v>n.a.</x:v>
      </x:c>
      <x:c r="G24" s="21" t="str">
        <x:v>n.a.</x:v>
      </x:c>
    </x:row>
    <x:row r="25" ht="23" customHeight="1">
      <x:c r="A25" s="2" t="str">
        <x:v>C3GD</x:v>
      </x:c>
      <x:c r="B25" s="13" t="n">
        <x:v>4058</x:v>
      </x:c>
      <x:c r="C25" s="13" t="n">
        <x:v>45</x:v>
      </x:c>
      <x:c r="D25" s="13" t="n">
        <x:v>0</x:v>
      </x:c>
      <x:c r="E25" s="13" t="n">
        <x:v>0</x:v>
      </x:c>
      <x:c r="F25" s="15" t="str">
        <x:f>IF(OR(B25+C25=0,D25+E25=0,B25+D25=0),"n.a.",B25/(B25+D25))</x:f>
        <x:v>n.a.</x:v>
      </x:c>
      <x:c r="G25" s="16" t="str">
        <x:v>n.a.</x:v>
      </x:c>
    </x:row>
    <x:row r="26" ht="23" customHeight="1">
      <x:c r="A26" s="2"/>
      <x:c r="B26" s="2"/>
      <x:c r="C26" s="2"/>
      <x:c r="D26" s="2"/>
      <x:c r="E26" s="2"/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 t="str">
        <x:v>Positive-only datasets measure recall. Negative-only datasets measure false positives; accuracy and AUC are n.a.</x:v>
      </x:c>
      <x:c r="B28" s="2"/>
      <x:c r="C28" s="2"/>
      <x:c r="D28" s="2"/>
      <x:c r="E28" s="2"/>
      <x:c r="F28" s="2"/>
      <x:c r="G28" s="2"/>
    </x:row>
    <x:row r="29" ht="23" customHeight="1">
      <x:c r="A29" s="2" t="str">
        <x:v>Repeated held-out checks during development do not establish performance on every future recording.</x:v>
      </x:c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2"/>
      <x:c r="B31" s="2"/>
      <x:c r="C31" s="2"/>
      <x:c r="D31" s="2"/>
      <x:c r="E31" s="2"/>
      <x:c r="F31" s="2"/>
      <x:c r="G31" s="2"/>
    </x:row>
    <x:row r="32" ht="23" customHeight="1">
      <x:c r="A32" s="23" t="str">
        <x:v>Known background recheck (training and validation data)</x:v>
      </x:c>
      <x:c r="B32" s="2"/>
      <x:c r="C32" s="2"/>
      <x:c r="D32" s="2"/>
      <x:c r="E32" s="2"/>
      <x:c r="F32" s="2"/>
      <x:c r="G32" s="2"/>
    </x:row>
    <x:row r="33" ht="23" customHeight="1">
      <x:c r="A33" s="2" t="str">
        <x:v>Metric</x:v>
      </x:c>
      <x:c r="B33" s="2" t="str">
        <x:v>Flagged</x:v>
      </x:c>
      <x:c r="C33" s="2" t="str">
        <x:v>Total</x:v>
      </x:c>
      <x:c r="D33" s="2"/>
      <x:c r="E33" s="2"/>
      <x:c r="F33" s="2"/>
      <x:c r="G33" s="2"/>
    </x:row>
    <x:row r="34" ht="23" customHeight="1">
      <x:c r="A34" s="2" t="str">
        <x:v>Whole files</x:v>
      </x:c>
      <x:c r="B34" s="2" t="n">
        <x:v>8</x:v>
      </x:c>
      <x:c r="C34" s="2" t="n">
        <x:v>57</x:v>
      </x:c>
      <x:c r="D34" s="2"/>
      <x:c r="E34" s="2"/>
      <x:c r="F34" s="2"/>
      <x:c r="G34" s="2"/>
    </x:row>
    <x:row r="35" ht="23" customHeight="1">
      <x:c r="A35" s="2" t="str">
        <x:v>Short clips</x:v>
      </x:c>
      <x:c r="B35" s="2" t="n">
        <x:v>32</x:v>
      </x:c>
      <x:c r="C35" s="2" t="n">
        <x:v>425</x:v>
      </x:c>
      <x:c r="D35" s="2"/>
      <x:c r="E35" s="2"/>
      <x:c r="F35" s="2"/>
      <x:c r="G35" s="2"/>
    </x:row>
    <x:row r="36" ht="23" customHeight="1">
      <x:c r="A36" s="2" t="str">
        <x:v>Clip rejection</x:v>
      </x:c>
      <x:c r="B36" s="9" t="n">
        <x:f>(C35-B35)/C35</x:f>
        <x:v>0.9247058823529412</x:v>
      </x:c>
      <x:c r="C36" s="2"/>
      <x:c r="D36" s="2"/>
      <x:c r="E36" s="2"/>
      <x:c r="F36" s="2"/>
      <x:c r="G36" s="2"/>
    </x:row>
    <x:row r="37" ht="23" customHeight="1">
      <x:c r="A37" s="2"/>
      <x:c r="B37" s="2"/>
      <x:c r="C37" s="2"/>
      <x:c r="D37" s="2"/>
      <x:c r="E37" s="2"/>
      <x:c r="F37" s="2"/>
      <x:c r="G37" s="2"/>
    </x:row>
    <x:row r="38" ht="23" customHeight="1">
      <x:c r="A38" s="2"/>
      <x:c r="B38" s="2"/>
      <x:c r="C38" s="2"/>
      <x:c r="D38" s="2"/>
      <x:c r="E38" s="2"/>
      <x:c r="F38" s="2"/>
      <x:c r="G38" s="2"/>
    </x:row>
    <x:row r="39" ht="23" customHeight="1">
      <x:c r="A39" s="2"/>
      <x:c r="B39" s="2"/>
      <x:c r="C39" s="2"/>
      <x:c r="D39" s="2"/>
      <x:c r="E39" s="2"/>
      <x:c r="F39" s="2"/>
      <x:c r="G39" s="2"/>
    </x:row>
    <x:row r="40" ht="23" customHeight="1">
      <x:c r="A40" s="2"/>
      <x:c r="B40" s="2"/>
      <x:c r="C40" s="2"/>
      <x:c r="D40" s="2"/>
      <x:c r="E40" s="2"/>
      <x:c r="F40" s="2"/>
      <x:c r="G40" s="2"/>
    </x:row>
    <x:row r="41" ht="23" customHeight="1">
      <x:c r="A41" s="2"/>
      <x:c r="B41" s="2"/>
      <x:c r="C41" s="2"/>
      <x:c r="D41" s="2"/>
      <x:c r="E41" s="2"/>
      <x:c r="F41" s="2"/>
      <x:c r="G41" s="2"/>
    </x:row>
    <x:row r="42" ht="23" customHeight="1">
      <x:c r="A42" s="2"/>
      <x:c r="B42" s="2"/>
      <x:c r="C42" s="2"/>
      <x:c r="D42" s="2"/>
      <x:c r="E42" s="2"/>
      <x:c r="F42" s="2"/>
      <x:c r="G42" s="2"/>
    </x:row>
    <x:row r="43" ht="23" customHeight="1">
      <x:c r="A43" s="2"/>
      <x:c r="B43" s="2"/>
      <x:c r="C43" s="2"/>
      <x:c r="D43" s="2"/>
      <x:c r="E43" s="2"/>
      <x:c r="F43" s="2"/>
      <x:c r="G43" s="2"/>
    </x:row>
    <x:row r="44" ht="23" customHeight="1">
      <x:c r="A44" s="2"/>
      <x:c r="B44" s="2"/>
      <x:c r="C44" s="2"/>
      <x:c r="D44" s="2"/>
      <x:c r="E44" s="2"/>
      <x:c r="F44" s="2"/>
      <x:c r="G44" s="2"/>
    </x:row>
    <x:row r="45" ht="23" customHeight="1">
      <x:c r="A45" s="2"/>
      <x:c r="B45" s="2"/>
      <x:c r="C45" s="2"/>
      <x:c r="D45" s="2"/>
      <x:c r="E45" s="2"/>
      <x:c r="F45" s="2"/>
      <x:c r="G45" s="2"/>
    </x:row>
    <x:row r="46" ht="23" customHeight="1">
      <x:c r="A46" s="2"/>
      <x:c r="B46" s="2"/>
      <x:c r="C46" s="2"/>
      <x:c r="D46" s="2"/>
      <x:c r="E46" s="2"/>
      <x:c r="F46" s="2"/>
      <x:c r="G46" s="2"/>
    </x:row>
    <x:row r="47" ht="23" customHeight="1">
      <x:c r="A47" s="2"/>
      <x:c r="B47" s="2"/>
      <x:c r="C47" s="2"/>
      <x:c r="D47" s="2"/>
      <x:c r="E47" s="2"/>
      <x:c r="F47" s="2"/>
      <x:c r="G47" s="2"/>
    </x:row>
    <x:row r="48" ht="23" customHeight="1">
      <x:c r="A48" s="2"/>
      <x:c r="B48" s="2"/>
      <x:c r="C48" s="2"/>
      <x:c r="D48" s="2"/>
      <x:c r="E48" s="2"/>
      <x:c r="F48" s="2"/>
      <x:c r="G48" s="2"/>
    </x:row>
    <x:row r="49" ht="23" customHeight="1">
      <x:c r="A49" s="2"/>
      <x:c r="B49" s="2"/>
      <x:c r="C49" s="2"/>
      <x:c r="D49" s="2"/>
      <x:c r="E49" s="2"/>
      <x:c r="F49" s="2"/>
      <x:c r="G49" s="2"/>
    </x:row>
    <x:row r="50" ht="23" customHeight="1">
      <x:c r="A50" s="2"/>
      <x:c r="B50" s="2"/>
      <x:c r="C50" s="2"/>
      <x:c r="D50" s="2"/>
      <x:c r="E50" s="2"/>
      <x:c r="F50" s="2"/>
      <x:c r="G50" s="2"/>
    </x:row>
    <x:row r="51" ht="23" customHeight="1">
      <x:c r="A51" s="2"/>
      <x:c r="B51" s="2"/>
      <x:c r="C51" s="2"/>
      <x:c r="D51" s="2"/>
      <x:c r="E51" s="2"/>
      <x:c r="F51" s="2"/>
      <x:c r="G51" s="2"/>
    </x:row>
    <x:row r="52" ht="23" customHeight="1">
      <x:c r="A52" s="2"/>
      <x:c r="B52" s="2"/>
      <x:c r="C52" s="2"/>
      <x:c r="D52" s="2"/>
      <x:c r="E52" s="2"/>
      <x:c r="F52" s="2"/>
      <x:c r="G52" s="2"/>
    </x:row>
    <x:row r="53" ht="23" customHeight="1">
      <x:c r="A53" s="2"/>
      <x:c r="B53" s="2"/>
      <x:c r="C53" s="2"/>
      <x:c r="D53" s="2"/>
      <x:c r="E53" s="2"/>
      <x:c r="F53" s="2"/>
      <x:c r="G53" s="2"/>
    </x:row>
    <x:row r="54" ht="23" customHeight="1">
      <x:c r="A54" s="2"/>
      <x:c r="B54" s="2"/>
      <x:c r="C54" s="2"/>
      <x:c r="D54" s="2"/>
      <x:c r="E54" s="2"/>
      <x:c r="F54" s="2"/>
      <x:c r="G54" s="2"/>
    </x:row>
    <x:row r="55" ht="23" customHeight="1">
      <x:c r="A55" s="2"/>
      <x:c r="B55" s="2"/>
      <x:c r="C55" s="2"/>
      <x:c r="D55" s="2"/>
      <x:c r="E55" s="2"/>
      <x:c r="F55" s="2"/>
      <x:c r="G55" s="2"/>
    </x:row>
    <x:row r="56" ht="23" customHeight="1">
      <x:c r="A56" s="2"/>
      <x:c r="B56" s="2"/>
      <x:c r="C56" s="2"/>
      <x:c r="D56" s="2"/>
      <x:c r="E56" s="2"/>
      <x:c r="F56" s="2"/>
      <x:c r="G56" s="2"/>
    </x:row>
    <x:row r="57" ht="23" customHeight="1">
      <x:c r="A57" s="2"/>
      <x:c r="B57" s="2"/>
      <x:c r="C57" s="2"/>
      <x:c r="D57" s="2"/>
      <x:c r="E57" s="2"/>
      <x:c r="F57" s="2"/>
      <x:c r="G57" s="2"/>
    </x:row>
    <x:row r="58" ht="23" customHeight="1">
      <x:c r="A58" s="2"/>
      <x:c r="B58" s="2"/>
      <x:c r="C58" s="2"/>
      <x:c r="D58" s="2"/>
      <x:c r="E58" s="2"/>
      <x:c r="F58" s="2"/>
      <x:c r="G58" s="2"/>
    </x:row>
    <x:row r="59" ht="23" customHeight="1">
      <x:c r="A59" s="2"/>
      <x:c r="B59" s="2"/>
      <x:c r="C59" s="2"/>
      <x:c r="D59" s="2"/>
      <x:c r="E59" s="2"/>
      <x:c r="F59" s="2"/>
      <x:c r="G59" s="2"/>
    </x:row>
    <x:row r="60" ht="23" customHeight="1">
      <x:c r="A60" s="2"/>
      <x:c r="B60" s="2"/>
      <x:c r="C60" s="2"/>
      <x:c r="D60" s="2"/>
      <x:c r="E60" s="2"/>
      <x:c r="F60" s="2"/>
      <x:c r="G60" s="2"/>
    </x:row>
    <x:row r="61" ht="23" customHeight="1">
      <x:c r="A61" s="2"/>
      <x:c r="B61" s="2"/>
      <x:c r="C61" s="2"/>
      <x:c r="D61" s="2"/>
      <x:c r="E61" s="2"/>
      <x:c r="F61" s="2"/>
      <x:c r="G61" s="2"/>
    </x:row>
    <x:row r="62" ht="23" customHeight="1">
      <x:c r="A62" s="2"/>
      <x:c r="B62" s="2"/>
      <x:c r="C62" s="2"/>
      <x:c r="D62" s="2"/>
      <x:c r="E62" s="2"/>
      <x:c r="F62" s="2"/>
      <x:c r="G62" s="2"/>
    </x:row>
    <x:row r="63" ht="23" customHeight="1">
      <x:c r="A63" s="2"/>
      <x:c r="B63" s="2"/>
      <x:c r="C63" s="2"/>
      <x:c r="D63" s="2"/>
      <x:c r="E63" s="2"/>
      <x:c r="F63" s="2"/>
      <x:c r="G63" s="2"/>
    </x:row>
    <x:row r="64" ht="23" customHeight="1">
      <x:c r="A64" s="2"/>
      <x:c r="B64" s="2"/>
      <x:c r="C64" s="2"/>
      <x:c r="D64" s="2"/>
      <x:c r="E64" s="2"/>
      <x:c r="F64" s="2"/>
      <x:c r="G64" s="2"/>
    </x:row>
    <x:row r="65" ht="23" customHeight="1">
      <x:c r="A65" s="2"/>
      <x:c r="B65" s="2"/>
      <x:c r="C65" s="2"/>
      <x:c r="D65" s="2"/>
      <x:c r="E65" s="2"/>
      <x:c r="F65" s="2"/>
      <x:c r="G65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43B64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.670000076293945" hidden="0" customWidth="1"/>
    <x:col min="2" max="2" width="16.110000610351562" hidden="0" customWidth="1"/>
    <x:col min="3" max="3" width="16.110000610351562" hidden="0" customWidth="1"/>
    <x:col min="4" max="4" width="3.3299999237060547" hidden="0" customWidth="1"/>
    <x:col min="5" max="5" width="26.670000076293945" hidden="0" customWidth="1"/>
    <x:col min="6" max="6" width="16.110000610351562" hidden="0" customWidth="1"/>
    <x:col min="7" max="7" width="16.11000061035156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Gunshot detection cycles</x:v>
      </x:c>
      <x:c r="B2" s="2"/>
      <x:c r="C2" s="2"/>
      <x:c r="D2" s="2"/>
      <x:c r="E2" s="2"/>
      <x:c r="F2" s="2"/>
      <x:c r="G2" s="2"/>
    </x:row>
    <x:row r="3" ht="23" customHeight="1">
      <x:c r="A3" s="4" t="str">
        <x:v>Held-out files only. Training and validation files are excluded from these comparisons.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5" t="str">
        <x:v>SESA mixed sounds — Run #5</x:v>
      </x:c>
      <x:c r="B6" s="2"/>
      <x:c r="C6" s="2"/>
      <x:c r="D6" s="2"/>
      <x:c r="E6" s="5" t="str">
        <x:v>FSDD spoken digits — Run #6</x:v>
      </x:c>
      <x:c r="F6" s="2"/>
      <x:c r="G6" s="2"/>
    </x:row>
    <x:row r="7" ht="26" customHeight="1">
      <x:c r="A7" s="8" t="str">
        <x:v>Metric</x:v>
      </x:c>
      <x:c r="B7" s="8" t="str">
        <x:v>Before</x:v>
      </x:c>
      <x:c r="C7" s="8" t="str">
        <x:v>After</x:v>
      </x:c>
      <x:c r="D7" s="2"/>
      <x:c r="E7" s="8" t="str">
        <x:v>Metric</x:v>
      </x:c>
      <x:c r="F7" s="8" t="str">
        <x:v>Before</x:v>
      </x:c>
      <x:c r="G7" s="8" t="str">
        <x:v>After</x:v>
      </x:c>
    </x:row>
    <x:row r="8" ht="23" customHeight="1">
      <x:c r="A8" s="18" t="str">
        <x:v>Test recordings</x:v>
      </x:c>
      <x:c r="B8" s="19" t="n">
        <x:f>SUM(B17:B20)</x:f>
        <x:v>105</x:v>
      </x:c>
      <x:c r="C8" s="19" t="n">
        <x:f>SUM(C17:C20)</x:f>
        <x:v>105</x:v>
      </x:c>
      <x:c r="D8" s="2"/>
      <x:c r="E8" s="18" t="str">
        <x:v>Test recordings</x:v>
      </x:c>
      <x:c r="F8" s="19" t="n">
        <x:f>SUM(F17:F20)</x:f>
        <x:v>500</x:v>
      </x:c>
      <x:c r="G8" s="19" t="n">
        <x:f>SUM(G17:G20)</x:f>
        <x:v>500</x:v>
      </x:c>
    </x:row>
    <x:row r="9" ht="23" customHeight="1">
      <x:c r="A9" s="2"/>
      <x:c r="B9" s="14"/>
      <x:c r="C9" s="14"/>
      <x:c r="D9" s="2"/>
      <x:c r="E9" s="2"/>
      <x:c r="F9" s="14"/>
      <x:c r="G9" s="14"/>
    </x:row>
    <x:row r="10" ht="23" customHeight="1">
      <x:c r="A10" s="18" t="str">
        <x:v>Accuracy</x:v>
      </x:c>
      <x:c r="B10" s="20" t="n">
        <x:f>(B17+B20)/B8</x:f>
        <x:v>0.8857142857142857</x:v>
      </x:c>
      <x:c r="C10" s="20" t="n">
        <x:f>(C17+C20)/C8</x:f>
        <x:v>0.9333333333333333</x:v>
      </x:c>
      <x:c r="D10" s="2"/>
      <x:c r="E10" s="18" t="str">
        <x:v>Accuracy</x:v>
      </x:c>
      <x:c r="F10" s="20" t="str">
        <x:v>n.a.</x:v>
      </x:c>
      <x:c r="G10" s="20" t="str">
        <x:v>n.a.</x:v>
      </x:c>
    </x:row>
    <x:row r="11" ht="23" customHeight="1">
      <x:c r="A11" s="2" t="str">
        <x:v>Gunshot recall</x:v>
      </x:c>
      <x:c r="B11" s="15" t="n">
        <x:f>IF(B17+B18=0,"n.a.",B17/(B17+B18))</x:f>
        <x:v>0.6666666666666666</x:v>
      </x:c>
      <x:c r="C11" s="15" t="n">
        <x:f>IF(C17+C18=0,"n.a.",C17/(C17+C18))</x:f>
        <x:v>0.9047619047619048</x:v>
      </x:c>
      <x:c r="D11" s="2"/>
      <x:c r="E11" s="2" t="str">
        <x:v>Gunshot recall</x:v>
      </x:c>
      <x:c r="F11" s="15" t="str">
        <x:f>IF(F17+F18=0,"n.a.",F17/(F17+F18))</x:f>
        <x:v>n.a.</x:v>
      </x:c>
      <x:c r="G11" s="15" t="str">
        <x:f>IF(G17+G18=0,"n.a.",G17/(G17+G18))</x:f>
        <x:v>n.a.</x:v>
      </x:c>
    </x:row>
    <x:row r="12" ht="23" customHeight="1">
      <x:c r="A12" s="18" t="str">
        <x:v>Gunshot precision</x:v>
      </x:c>
      <x:c r="B12" s="20" t="n">
        <x:f>IF(B17+B19=0,"n.a.",B17/(B17+B19))</x:f>
        <x:v>0.7368421052631579</x:v>
      </x:c>
      <x:c r="C12" s="20" t="n">
        <x:f>IF(C17+C19=0,"n.a.",C17/(C17+C19))</x:f>
        <x:v>0.7916666666666666</x:v>
      </x:c>
      <x:c r="D12" s="2"/>
      <x:c r="E12" s="18" t="str">
        <x:v>Gunshot precision</x:v>
      </x:c>
      <x:c r="F12" s="20" t="str">
        <x:v>n.a.</x:v>
      </x:c>
      <x:c r="G12" s="20" t="str">
        <x:v>n.a.</x:v>
      </x:c>
    </x:row>
    <x:row r="13" ht="23" customHeight="1">
      <x:c r="A13" s="2" t="str">
        <x:v>Gunshot F1</x:v>
      </x:c>
      <x:c r="B13" s="15" t="n">
        <x:f>2*B17/(2*B17+B19+B18)</x:f>
        <x:v>0.7</x:v>
      </x:c>
      <x:c r="C13" s="15" t="n">
        <x:f>2*C17/(2*C17+C19+C18)</x:f>
        <x:v>0.8444444444444444</x:v>
      </x:c>
      <x:c r="D13" s="2"/>
      <x:c r="E13" s="2" t="str">
        <x:v>Gunshot F1</x:v>
      </x:c>
      <x:c r="F13" s="15" t="str">
        <x:v>n.a.</x:v>
      </x:c>
      <x:c r="G13" s="15" t="str">
        <x:v>n.a.</x:v>
      </x:c>
    </x:row>
    <x:row r="14" ht="23" customHeight="1">
      <x:c r="A14" s="18" t="str">
        <x:v>ROC AUC</x:v>
      </x:c>
      <x:c r="B14" s="21" t="n">
        <x:v>0.9478458049886621</x:v>
      </x:c>
      <x:c r="C14" s="21" t="n">
        <x:v>0.976190476190476</x:v>
      </x:c>
      <x:c r="D14" s="2"/>
      <x:c r="E14" s="18" t="str">
        <x:v>ROC AUC</x:v>
      </x:c>
      <x:c r="F14" s="21" t="str">
        <x:v>n.a.</x:v>
      </x:c>
      <x:c r="G14" s="21" t="str">
        <x:v>n.a.</x:v>
      </x:c>
    </x:row>
    <x:row r="15" ht="23" customHeight="1">
      <x:c r="A15" s="2" t="str">
        <x:v>Decision threshold</x:v>
      </x:c>
      <x:c r="B15" s="17" t="n">
        <x:v>0.19999999999999996</x:v>
      </x:c>
      <x:c r="C15" s="17" t="n">
        <x:v>0.30999999999999994</x:v>
      </x:c>
      <x:c r="D15" s="2"/>
      <x:c r="E15" s="2" t="str">
        <x:v>Decision threshold</x:v>
      </x:c>
      <x:c r="F15" s="17" t="n">
        <x:v>0.30999999999999994</x:v>
      </x:c>
      <x:c r="G15" s="17" t="n">
        <x:v>0.31999999999999995</x:v>
      </x:c>
    </x:row>
    <x:row r="16" ht="23" customHeight="1">
      <x:c r="A16" s="2"/>
      <x:c r="B16" s="14"/>
      <x:c r="C16" s="14"/>
      <x:c r="D16" s="2"/>
      <x:c r="E16" s="2"/>
      <x:c r="F16" s="14"/>
      <x:c r="G16" s="14"/>
    </x:row>
    <x:row r="17" ht="23" customHeight="1">
      <x:c r="A17" s="18" t="str">
        <x:v>Gunshots detected</x:v>
      </x:c>
      <x:c r="B17" s="19" t="n">
        <x:v>14</x:v>
      </x:c>
      <x:c r="C17" s="19" t="n">
        <x:v>19</x:v>
      </x:c>
      <x:c r="D17" s="2"/>
      <x:c r="E17" s="18" t="str">
        <x:v>Gunshots detected</x:v>
      </x:c>
      <x:c r="F17" s="19" t="n">
        <x:v>0</x:v>
      </x:c>
      <x:c r="G17" s="19" t="n">
        <x:v>0</x:v>
      </x:c>
    </x:row>
    <x:row r="18" ht="23" customHeight="1">
      <x:c r="A18" s="2" t="str">
        <x:v>Gunshots missed</x:v>
      </x:c>
      <x:c r="B18" s="13" t="n">
        <x:v>7</x:v>
      </x:c>
      <x:c r="C18" s="13" t="n">
        <x:v>2</x:v>
      </x:c>
      <x:c r="D18" s="2"/>
      <x:c r="E18" s="2" t="str">
        <x:v>Gunshots missed</x:v>
      </x:c>
      <x:c r="F18" s="13" t="n">
        <x:v>0</x:v>
      </x:c>
      <x:c r="G18" s="13" t="n">
        <x:v>0</x:v>
      </x:c>
    </x:row>
    <x:row r="19" ht="23" customHeight="1">
      <x:c r="A19" s="18" t="str">
        <x:v>False alarms</x:v>
      </x:c>
      <x:c r="B19" s="19" t="n">
        <x:v>5</x:v>
      </x:c>
      <x:c r="C19" s="19" t="n">
        <x:v>5</x:v>
      </x:c>
      <x:c r="D19" s="2"/>
      <x:c r="E19" s="18" t="str">
        <x:v>False alarms</x:v>
      </x:c>
      <x:c r="F19" s="19" t="n">
        <x:v>13</x:v>
      </x:c>
      <x:c r="G19" s="19" t="n">
        <x:v>12</x:v>
      </x:c>
    </x:row>
    <x:row r="20" ht="23" customHeight="1">
      <x:c r="A20" s="2" t="str">
        <x:v>Correct non-gunshots</x:v>
      </x:c>
      <x:c r="B20" s="13" t="n">
        <x:v>79</x:v>
      </x:c>
      <x:c r="C20" s="13" t="n">
        <x:v>79</x:v>
      </x:c>
      <x:c r="D20" s="2"/>
      <x:c r="E20" s="2" t="str">
        <x:v>Correct non-gunshots</x:v>
      </x:c>
      <x:c r="F20" s="13" t="n">
        <x:v>487</x:v>
      </x:c>
      <x:c r="G20" s="13" t="n">
        <x:v>488</x:v>
      </x:c>
    </x:row>
    <x:row r="21" ht="23" customHeight="1">
      <x:c r="A21" s="2"/>
      <x:c r="B21" s="14"/>
      <x:c r="C21" s="14"/>
      <x:c r="D21" s="2"/>
      <x:c r="E21" s="2"/>
      <x:c r="F21" s="14"/>
      <x:c r="G21" s="14"/>
    </x:row>
    <x:row r="22" ht="23" customHeight="1">
      <x:c r="A22" s="18" t="str">
        <x:v>False-positive rate</x:v>
      </x:c>
      <x:c r="B22" s="20" t="n">
        <x:f>IF(B19+B20=0,"n.a.",B19/(B19+B20))</x:f>
        <x:v>0.05952380952380952</x:v>
      </x:c>
      <x:c r="C22" s="20" t="n">
        <x:f>IF(C19+C20=0,"n.a.",C19/(C19+C20))</x:f>
        <x:v>0.05952380952380952</x:v>
      </x:c>
      <x:c r="D22" s="2"/>
      <x:c r="E22" s="18" t="str">
        <x:v>False-positive rate</x:v>
      </x:c>
      <x:c r="F22" s="20" t="n">
        <x:f>IF(F19+F20=0,"n.a.",F19/(F19+F20))</x:f>
        <x:v>0.026</x:v>
      </x:c>
      <x:c r="G22" s="20" t="n">
        <x:f>IF(G19+G20=0,"n.a.",G19/(G19+G20))</x:f>
        <x:v>0.024</x:v>
      </x:c>
    </x:row>
    <x:row r="23" ht="23" customHeight="1">
      <x:c r="A23" s="2" t="str">
        <x:v>Negatives correctly rejected</x:v>
      </x:c>
      <x:c r="B23" s="15" t="n">
        <x:f>IF(B19+B20=0,"n.a.",B20/(B19+B20))</x:f>
        <x:v>0.9404761904761905</x:v>
      </x:c>
      <x:c r="C23" s="15" t="n">
        <x:f>IF(C19+C20=0,"n.a.",C20/(C19+C20))</x:f>
        <x:v>0.9404761904761905</x:v>
      </x:c>
      <x:c r="D23" s="2"/>
      <x:c r="E23" s="2" t="str">
        <x:v>Negatives correctly rejected</x:v>
      </x:c>
      <x:c r="F23" s="15" t="n">
        <x:f>IF(F19+F20=0,"n.a.",F20/(F19+F20))</x:f>
        <x:v>0.974</x:v>
      </x:c>
      <x:c r="G23" s="15" t="n">
        <x:f>IF(G19+G20=0,"n.a.",G20/(G19+G20))</x:f>
        <x:v>0.976</x:v>
      </x:c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 t="str">
        <x:v>Selected training epoch</x:v>
      </x:c>
      <x:c r="B25" s="2"/>
      <x:c r="C25" s="2" t="n">
        <x:v>6</x:v>
      </x:c>
      <x:c r="D25" s="2"/>
      <x:c r="E25" s="2" t="str">
        <x:v>Selected training epoch</x:v>
      </x:c>
      <x:c r="F25" s="2"/>
      <x:c r="G25" s="2" t="n">
        <x:v>0</x:v>
      </x:c>
    </x:row>
    <x:row r="26" ht="23" customHeight="1">
      <x:c r="A26" s="22" t="str">
        <x:v>Selected trained weights.</x:v>
      </x:c>
      <x:c r="B26" s="2"/>
      <x:c r="C26" s="2"/>
      <x:c r="D26" s="2"/>
      <x:c r="E26" s="22" t="str">
        <x:v>Prior weights retained; threshold recalibrated.</x:v>
      </x:c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5" t="str">
        <x:v>EDGE gunshots — Run #7</x:v>
      </x:c>
      <x:c r="B31" s="2"/>
      <x:c r="C31" s="2"/>
      <x:c r="D31" s="2"/>
      <x:c r="E31" s="5" t="str">
        <x:v>UrbanSound8K subset — Run #8</x:v>
      </x:c>
      <x:c r="F31" s="2"/>
      <x:c r="G31" s="2"/>
    </x:row>
    <x:row r="32" ht="26" customHeight="1">
      <x:c r="A32" s="8" t="str">
        <x:v>Metric</x:v>
      </x:c>
      <x:c r="B32" s="8" t="str">
        <x:v>Before</x:v>
      </x:c>
      <x:c r="C32" s="8" t="str">
        <x:v>After</x:v>
      </x:c>
      <x:c r="D32" s="2"/>
      <x:c r="E32" s="8" t="str">
        <x:v>Metric</x:v>
      </x:c>
      <x:c r="F32" s="8" t="str">
        <x:v>Before</x:v>
      </x:c>
      <x:c r="G32" s="8" t="str">
        <x:v>After</x:v>
      </x:c>
    </x:row>
    <x:row r="33" ht="23" customHeight="1">
      <x:c r="A33" s="18" t="str">
        <x:v>Test recordings</x:v>
      </x:c>
      <x:c r="B33" s="19" t="n">
        <x:f>SUM(B42:B45)</x:f>
        <x:v>89</x:v>
      </x:c>
      <x:c r="C33" s="19" t="n">
        <x:f>SUM(C42:C45)</x:f>
        <x:v>89</x:v>
      </x:c>
      <x:c r="D33" s="2"/>
      <x:c r="E33" s="18" t="str">
        <x:v>Test recordings</x:v>
      </x:c>
      <x:c r="F33" s="19" t="n">
        <x:f>SUM(F42:F45)</x:f>
        <x:v>110</x:v>
      </x:c>
      <x:c r="G33" s="19" t="n">
        <x:f>SUM(G42:G45)</x:f>
        <x:v>110</x:v>
      </x:c>
    </x:row>
    <x:row r="34" ht="23" customHeight="1">
      <x:c r="A34" s="2"/>
      <x:c r="B34" s="14"/>
      <x:c r="C34" s="14"/>
      <x:c r="D34" s="2"/>
      <x:c r="E34" s="2"/>
      <x:c r="F34" s="14"/>
      <x:c r="G34" s="14"/>
    </x:row>
    <x:row r="35" ht="23" customHeight="1">
      <x:c r="A35" s="18" t="str">
        <x:v>Accuracy</x:v>
      </x:c>
      <x:c r="B35" s="20" t="str">
        <x:v>n.a.</x:v>
      </x:c>
      <x:c r="C35" s="20" t="str">
        <x:v>n.a.</x:v>
      </x:c>
      <x:c r="D35" s="2"/>
      <x:c r="E35" s="18" t="str">
        <x:v>Accuracy</x:v>
      </x:c>
      <x:c r="F35" s="20" t="n">
        <x:f>(F42+F45)/F33</x:f>
        <x:v>0.9636363636363636</x:v>
      </x:c>
      <x:c r="G35" s="20" t="n">
        <x:f>(G42+G45)/G33</x:f>
        <x:v>0.9636363636363636</x:v>
      </x:c>
    </x:row>
    <x:row r="36" ht="23" customHeight="1">
      <x:c r="A36" s="2" t="str">
        <x:v>Gunshot recall</x:v>
      </x:c>
      <x:c r="B36" s="15" t="n">
        <x:f>IF(B42+B43=0,"n.a.",B42/(B42+B43))</x:f>
        <x:v>0.5280898876404494</x:v>
      </x:c>
      <x:c r="C36" s="15" t="n">
        <x:f>IF(C42+C43=0,"n.a.",C42/(C42+C43))</x:f>
        <x:v>0.550561797752809</x:v>
      </x:c>
      <x:c r="D36" s="2"/>
      <x:c r="E36" s="2" t="str">
        <x:v>Gunshot recall</x:v>
      </x:c>
      <x:c r="F36" s="15" t="n">
        <x:f>IF(F42+F43=0,"n.a.",F42/(F42+F43))</x:f>
        <x:v>0.9090909090909091</x:v>
      </x:c>
      <x:c r="G36" s="15" t="n">
        <x:f>IF(G42+G43=0,"n.a.",G42/(G42+G43))</x:f>
        <x:v>0.9090909090909091</x:v>
      </x:c>
    </x:row>
    <x:row r="37" ht="23" customHeight="1">
      <x:c r="A37" s="18" t="str">
        <x:v>Gunshot precision</x:v>
      </x:c>
      <x:c r="B37" s="20" t="str">
        <x:v>n.a.</x:v>
      </x:c>
      <x:c r="C37" s="20" t="str">
        <x:v>n.a.</x:v>
      </x:c>
      <x:c r="D37" s="2"/>
      <x:c r="E37" s="18" t="str">
        <x:v>Gunshot precision</x:v>
      </x:c>
      <x:c r="F37" s="20" t="n">
        <x:f>IF(F42+F44=0,"n.a.",F42/(F42+F44))</x:f>
        <x:v>0.9090909090909091</x:v>
      </x:c>
      <x:c r="G37" s="20" t="n">
        <x:f>IF(G42+G44=0,"n.a.",G42/(G42+G44))</x:f>
        <x:v>0.9090909090909091</x:v>
      </x:c>
    </x:row>
    <x:row r="38" ht="23" customHeight="1">
      <x:c r="A38" s="2" t="str">
        <x:v>Gunshot F1</x:v>
      </x:c>
      <x:c r="B38" s="15" t="str">
        <x:v>n.a.</x:v>
      </x:c>
      <x:c r="C38" s="15" t="str">
        <x:v>n.a.</x:v>
      </x:c>
      <x:c r="D38" s="2"/>
      <x:c r="E38" s="2" t="str">
        <x:v>Gunshot F1</x:v>
      </x:c>
      <x:c r="F38" s="15" t="n">
        <x:f>2*F42/(2*F42+F44+F43)</x:f>
        <x:v>0.9090909090909091</x:v>
      </x:c>
      <x:c r="G38" s="15" t="n">
        <x:f>2*G42/(2*G42+G44+G43)</x:f>
        <x:v>0.9090909090909091</x:v>
      </x:c>
    </x:row>
    <x:row r="39" ht="23" customHeight="1">
      <x:c r="A39" s="18" t="str">
        <x:v>ROC AUC</x:v>
      </x:c>
      <x:c r="B39" s="21" t="str">
        <x:v>n.a.</x:v>
      </x:c>
      <x:c r="C39" s="21" t="str">
        <x:v>n.a.</x:v>
      </x:c>
      <x:c r="D39" s="2"/>
      <x:c r="E39" s="18" t="str">
        <x:v>ROC AUC</x:v>
      </x:c>
      <x:c r="F39" s="21" t="n">
        <x:v>0.9922520661157025</x:v>
      </x:c>
      <x:c r="G39" s="21" t="n">
        <x:v>0.9922520661157025</x:v>
      </x:c>
    </x:row>
    <x:row r="40" ht="23" customHeight="1">
      <x:c r="A40" s="2" t="str">
        <x:v>Decision threshold</x:v>
      </x:c>
      <x:c r="B40" s="17" t="n">
        <x:v>0.31999999999999995</x:v>
      </x:c>
      <x:c r="C40" s="17" t="n">
        <x:v>0.2899999999999999</x:v>
      </x:c>
      <x:c r="D40" s="2"/>
      <x:c r="E40" s="2" t="str">
        <x:v>Decision threshold</x:v>
      </x:c>
      <x:c r="F40" s="17" t="n">
        <x:v>0.2899999999999999</x:v>
      </x:c>
      <x:c r="G40" s="17" t="n">
        <x:v>0.30999999999999994</x:v>
      </x:c>
    </x:row>
    <x:row r="41" ht="23" customHeight="1">
      <x:c r="A41" s="2"/>
      <x:c r="B41" s="14"/>
      <x:c r="C41" s="14"/>
      <x:c r="D41" s="2"/>
      <x:c r="E41" s="2"/>
      <x:c r="F41" s="14"/>
      <x:c r="G41" s="14"/>
    </x:row>
    <x:row r="42" ht="23" customHeight="1">
      <x:c r="A42" s="18" t="str">
        <x:v>Gunshots detected</x:v>
      </x:c>
      <x:c r="B42" s="19" t="n">
        <x:v>47</x:v>
      </x:c>
      <x:c r="C42" s="19" t="n">
        <x:v>49</x:v>
      </x:c>
      <x:c r="D42" s="2"/>
      <x:c r="E42" s="18" t="str">
        <x:v>Gunshots detected</x:v>
      </x:c>
      <x:c r="F42" s="19" t="n">
        <x:v>20</x:v>
      </x:c>
      <x:c r="G42" s="19" t="n">
        <x:v>20</x:v>
      </x:c>
    </x:row>
    <x:row r="43" ht="23" customHeight="1">
      <x:c r="A43" s="2" t="str">
        <x:v>Gunshots missed</x:v>
      </x:c>
      <x:c r="B43" s="13" t="n">
        <x:v>42</x:v>
      </x:c>
      <x:c r="C43" s="13" t="n">
        <x:v>40</x:v>
      </x:c>
      <x:c r="D43" s="2"/>
      <x:c r="E43" s="2" t="str">
        <x:v>Gunshots missed</x:v>
      </x:c>
      <x:c r="F43" s="13" t="n">
        <x:v>2</x:v>
      </x:c>
      <x:c r="G43" s="13" t="n">
        <x:v>2</x:v>
      </x:c>
    </x:row>
    <x:row r="44" ht="23" customHeight="1">
      <x:c r="A44" s="18" t="str">
        <x:v>False alarms</x:v>
      </x:c>
      <x:c r="B44" s="19" t="n">
        <x:v>0</x:v>
      </x:c>
      <x:c r="C44" s="19" t="n">
        <x:v>0</x:v>
      </x:c>
      <x:c r="D44" s="2"/>
      <x:c r="E44" s="18" t="str">
        <x:v>False alarms</x:v>
      </x:c>
      <x:c r="F44" s="19" t="n">
        <x:v>2</x:v>
      </x:c>
      <x:c r="G44" s="19" t="n">
        <x:v>2</x:v>
      </x:c>
    </x:row>
    <x:row r="45" ht="23" customHeight="1">
      <x:c r="A45" s="2" t="str">
        <x:v>Correct non-gunshots</x:v>
      </x:c>
      <x:c r="B45" s="13" t="n">
        <x:v>0</x:v>
      </x:c>
      <x:c r="C45" s="13" t="n">
        <x:v>0</x:v>
      </x:c>
      <x:c r="D45" s="2"/>
      <x:c r="E45" s="2" t="str">
        <x:v>Correct non-gunshots</x:v>
      </x:c>
      <x:c r="F45" s="13" t="n">
        <x:v>86</x:v>
      </x:c>
      <x:c r="G45" s="13" t="n">
        <x:v>86</x:v>
      </x:c>
    </x:row>
    <x:row r="46" ht="23" customHeight="1">
      <x:c r="A46" s="2"/>
      <x:c r="B46" s="14"/>
      <x:c r="C46" s="14"/>
      <x:c r="D46" s="2"/>
      <x:c r="E46" s="2"/>
      <x:c r="F46" s="14"/>
      <x:c r="G46" s="14"/>
    </x:row>
    <x:row r="47" ht="23" customHeight="1">
      <x:c r="A47" s="18" t="str">
        <x:v>False-positive rate</x:v>
      </x:c>
      <x:c r="B47" s="20" t="str">
        <x:f>IF(B44+B45=0,"n.a.",B44/(B44+B45))</x:f>
        <x:v>n.a.</x:v>
      </x:c>
      <x:c r="C47" s="20" t="str">
        <x:f>IF(C44+C45=0,"n.a.",C44/(C44+C45))</x:f>
        <x:v>n.a.</x:v>
      </x:c>
      <x:c r="D47" s="2"/>
      <x:c r="E47" s="18" t="str">
        <x:v>False-positive rate</x:v>
      </x:c>
      <x:c r="F47" s="20" t="n">
        <x:f>IF(F44+F45=0,"n.a.",F44/(F44+F45))</x:f>
        <x:v>0.022727272727272728</x:v>
      </x:c>
      <x:c r="G47" s="20" t="n">
        <x:f>IF(G44+G45=0,"n.a.",G44/(G44+G45))</x:f>
        <x:v>0.022727272727272728</x:v>
      </x:c>
    </x:row>
    <x:row r="48" ht="23" customHeight="1">
      <x:c r="A48" s="2" t="str">
        <x:v>Negatives correctly rejected</x:v>
      </x:c>
      <x:c r="B48" s="15" t="str">
        <x:f>IF(B44+B45=0,"n.a.",B45/(B44+B45))</x:f>
        <x:v>n.a.</x:v>
      </x:c>
      <x:c r="C48" s="15" t="str">
        <x:f>IF(C44+C45=0,"n.a.",C45/(C44+C45))</x:f>
        <x:v>n.a.</x:v>
      </x:c>
      <x:c r="D48" s="2"/>
      <x:c r="E48" s="2" t="str">
        <x:v>Negatives correctly rejected</x:v>
      </x:c>
      <x:c r="F48" s="15" t="n">
        <x:f>IF(F44+F45=0,"n.a.",F45/(F44+F45))</x:f>
        <x:v>0.9772727272727273</x:v>
      </x:c>
      <x:c r="G48" s="15" t="n">
        <x:f>IF(G44+G45=0,"n.a.",G45/(G44+G45))</x:f>
        <x:v>0.9772727272727273</x:v>
      </x:c>
    </x:row>
    <x:row r="49" ht="23" customHeight="1">
      <x:c r="A49" s="2"/>
      <x:c r="B49" s="2"/>
      <x:c r="C49" s="2"/>
      <x:c r="D49" s="2"/>
      <x:c r="E49" s="2"/>
      <x:c r="F49" s="2"/>
      <x:c r="G49" s="2"/>
    </x:row>
    <x:row r="50" ht="23" customHeight="1">
      <x:c r="A50" s="2" t="str">
        <x:v>Selected training epoch</x:v>
      </x:c>
      <x:c r="B50" s="2"/>
      <x:c r="C50" s="2" t="n">
        <x:v>0</x:v>
      </x:c>
      <x:c r="D50" s="2"/>
      <x:c r="E50" s="2" t="str">
        <x:v>Selected training epoch</x:v>
      </x:c>
      <x:c r="F50" s="2"/>
      <x:c r="G50" s="2" t="n">
        <x:v>0</x:v>
      </x:c>
    </x:row>
    <x:row r="51" ht="23" customHeight="1">
      <x:c r="A51" s="22" t="str">
        <x:v>Prior weights retained; threshold recalibrated.</x:v>
      </x:c>
      <x:c r="B51" s="2"/>
      <x:c r="C51" s="2"/>
      <x:c r="D51" s="2"/>
      <x:c r="E51" s="22" t="str">
        <x:v>Prior weights retained; threshold recalibrated.</x:v>
      </x:c>
      <x:c r="F51" s="2"/>
      <x:c r="G51" s="2"/>
    </x:row>
    <x:row r="52" ht="23" customHeight="1">
      <x:c r="A52" s="2"/>
      <x:c r="B52" s="2"/>
      <x:c r="C52" s="2"/>
      <x:c r="D52" s="2"/>
      <x:c r="E52" s="2"/>
      <x:c r="F52" s="2"/>
      <x:c r="G52" s="2"/>
    </x:row>
    <x:row r="53" ht="23" customHeight="1">
      <x:c r="A53" s="2"/>
      <x:c r="B53" s="2"/>
      <x:c r="C53" s="2"/>
      <x:c r="D53" s="2"/>
      <x:c r="E53" s="2"/>
      <x:c r="F53" s="2"/>
      <x:c r="G53" s="2"/>
    </x:row>
    <x:row r="54" ht="23" customHeight="1">
      <x:c r="A54" s="22" t="str">
        <x:v>n.a.: metric cannot be measured from a single-class dataset. False-positive rate uses negative files only.</x:v>
      </x:c>
      <x:c r="B54" s="22"/>
      <x:c r="C54" s="22"/>
      <x:c r="D54" s="22"/>
      <x:c r="E54" s="22"/>
      <x:c r="F54" s="22"/>
      <x:c r="G54" s="22"/>
    </x:row>
    <x:row r="55" ht="23" customHeight="1">
      <x:c r="A55" s="22" t="str">
        <x:v>Before = inherited model on the new data. After = selected model on the same held-out files.</x:v>
      </x:c>
      <x:c r="B55" s="22"/>
      <x:c r="C55" s="22"/>
      <x:c r="D55" s="22"/>
      <x:c r="E55" s="22"/>
      <x:c r="F55" s="22"/>
      <x:c r="G55" s="22"/>
    </x:row>
    <x:row r="56" ht="23" customHeight="1">
      <x:c r="A56" s="22"/>
      <x:c r="B56" s="22"/>
      <x:c r="C56" s="22"/>
      <x:c r="D56" s="22"/>
      <x:c r="E56" s="22"/>
      <x:c r="F56" s="22"/>
      <x:c r="G56" s="22"/>
    </x:row>
    <x:row r="57" ht="23" customHeight="1">
      <x:c r="A57" s="24" t="str">
        <x:v>Dataset sources and scope</x:v>
      </x:c>
      <x:c r="B57" s="22"/>
      <x:c r="C57" s="22"/>
      <x:c r="D57" s="22"/>
      <x:c r="E57" s="22"/>
      <x:c r="F57" s="22"/>
      <x:c r="G57" s="22"/>
    </x:row>
    <x:row r="58" ht="23" customHeight="1">
      <x:c r="A58" s="22" t="str">
        <x:v>SESA: official 105-file test split. Freesound source IDs unavailable; shared-source independence is unverified.</x:v>
      </x:c>
      <x:c r="B58" s="22"/>
      <x:c r="C58" s="22"/>
      <x:c r="D58" s="22"/>
      <x:c r="E58" s="22"/>
      <x:c r="F58" s="22"/>
      <x:c r="G58" s="22"/>
    </x:row>
    <x:row r="59" ht="23" customHeight="1">
      <x:c r="A59" s="22" t="str">
        <x:v>https://zenodo.org/records/3519845</x:v>
      </x:c>
      <x:c r="B59" s="22"/>
      <x:c r="C59" s="22"/>
      <x:c r="D59" s="22"/>
      <x:c r="E59" s="22"/>
      <x:c r="F59" s="22"/>
      <x:c r="G59" s="22"/>
    </x:row>
    <x:row r="60" ht="23" customHeight="1">
      <x:c r="A60" s="22" t="str">
        <x:v>FSDD: one held-out speaker. https://github.com/Jakobovski/free-spoken-digit-dataset</x:v>
      </x:c>
      <x:c r="B60" s="22"/>
      <x:c r="C60" s="22"/>
      <x:c r="D60" s="22"/>
      <x:c r="E60" s="22"/>
      <x:c r="F60" s="22"/>
      <x:c r="G60" s="22"/>
    </x:row>
    <x:row r="61" ht="23" customHeight="1">
      <x:c r="A61" s="22" t="str">
        <x:v>EDGE: compact subset, session 2 held out. https://zenodo.org/records/7004819</x:v>
      </x:c>
      <x:c r="B61" s="22"/>
      <x:c r="C61" s="22"/>
      <x:c r="D61" s="22"/>
      <x:c r="E61" s="22"/>
      <x:c r="F61" s="22"/>
      <x:c r="G61" s="22"/>
    </x:row>
    <x:row r="62" ht="23" customHeight="1">
      <x:c r="A62" s="22" t="str">
        <x:v>UrbanSound8K: custom binary subset; sources grouped by original folds, known ESC-50 sources excluded.</x:v>
      </x:c>
      <x:c r="B62" s="22"/>
      <x:c r="C62" s="22"/>
      <x:c r="D62" s="22"/>
      <x:c r="E62" s="22"/>
      <x:c r="F62" s="22"/>
      <x:c r="G62" s="22"/>
    </x:row>
    <x:row r="63" ht="23" customHeight="1">
      <x:c r="A63" s="22" t="str">
        <x:v>https://urbansounddataset.weebly.com/urbansound8k.html</x:v>
      </x:c>
      <x:c r="B63" s="22"/>
      <x:c r="C63" s="22"/>
      <x:c r="D63" s="22"/>
      <x:c r="E63" s="22"/>
      <x:c r="F63" s="22"/>
      <x:c r="G63" s="22"/>
    </x:row>
    <x:row r="64" ht="23" customHeight="1">
      <x:c r="A64" s="2"/>
      <x:c r="B64" s="2"/>
      <x:c r="C64" s="2"/>
      <x:c r="D64" s="2"/>
      <x:c r="E64" s="2"/>
      <x:c r="F64" s="2"/>
      <x:c r="G64" s="2"/>
    </x:row>
    <x:row r="65" ht="23" customHeight="1">
      <x:c r="A65" s="2"/>
      <x:c r="B65" s="2"/>
      <x:c r="C65" s="2"/>
      <x:c r="D65" s="2"/>
      <x:c r="E65" s="2"/>
      <x:c r="F65" s="2"/>
      <x:c r="G65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52627A"/>
  </x:sheetPr>
  <x:sheetViews>
    <x:sheetView showGridLines="0" workbookViewId="0"/>
  </x:sheetViews>
  <x:sheetFormatPr defaultRowHeight="15"/>
  <x:cols>
    <x:col min="1" max="1" width="26.670000076293945" hidden="0" customWidth="1"/>
    <x:col min="2" max="2" width="16.110000610351562" hidden="0" customWidth="1"/>
    <x:col min="3" max="3" width="16.110000610351562" hidden="0" customWidth="1"/>
    <x:col min="4" max="4" width="3.3299999237060547" hidden="0" customWidth="1"/>
    <x:col min="5" max="5" width="26.670000076293945" hidden="0" customWidth="1"/>
    <x:col min="6" max="6" width="16.110000610351562" hidden="0" customWidth="1"/>
    <x:col min="7" max="7" width="16.110000610351562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</x:row>
    <x:row r="2" ht="23" customHeight="1">
      <x:c r="A2" s="3" t="str">
        <x:v>Earlier experiment results</x:v>
      </x:c>
      <x:c r="B2" s="2"/>
      <x:c r="C2" s="2"/>
      <x:c r="D2" s="2"/>
      <x:c r="E2" s="2"/>
      <x:c r="F2" s="2"/>
      <x:c r="G2" s="2"/>
    </x:row>
    <x:row r="3" ht="23" customHeight="1">
      <x:c r="A3" s="4" t="str">
        <x:v>Historical values come from saved evaluation reports. Dataset familiarity does not mean test files were trained on.</x:v>
      </x:c>
      <x:c r="B3" s="2"/>
      <x:c r="C3" s="2"/>
      <x:c r="D3" s="2"/>
      <x:c r="E3" s="2"/>
      <x:c r="F3" s="2"/>
      <x:c r="G3" s="2"/>
    </x:row>
    <x:row r="4" ht="23" customHeight="1">
      <x:c r="A4" s="2"/>
      <x:c r="B4" s="2"/>
      <x:c r="C4" s="2"/>
      <x:c r="D4" s="2"/>
      <x:c r="E4" s="2"/>
      <x:c r="F4" s="2"/>
      <x:c r="G4" s="2"/>
    </x:row>
    <x:row r="5" ht="23" customHeight="1">
      <x:c r="A5" s="2"/>
      <x:c r="B5" s="2"/>
      <x:c r="C5" s="2"/>
      <x:c r="D5" s="2"/>
      <x:c r="E5" s="2"/>
      <x:c r="F5" s="2"/>
      <x:c r="G5" s="2"/>
    </x:row>
    <x:row r="6" ht="23" customHeight="1">
      <x:c r="A6" s="5" t="str">
        <x:v>MAD — run #2 cycle</x:v>
      </x:c>
      <x:c r="B6" s="2"/>
      <x:c r="C6" s="2"/>
      <x:c r="D6" s="2"/>
      <x:c r="E6" s="5" t="str">
        <x:v>Original test — runs #1 and #2</x:v>
      </x:c>
      <x:c r="F6" s="2"/>
      <x:c r="G6" s="2"/>
    </x:row>
    <x:row r="7" ht="26" customHeight="1">
      <x:c r="A7" s="8" t="str">
        <x:v>Metric</x:v>
      </x:c>
      <x:c r="B7" s="8" t="str">
        <x:v>Before</x:v>
      </x:c>
      <x:c r="C7" s="8" t="str">
        <x:v>After</x:v>
      </x:c>
      <x:c r="D7" s="2"/>
      <x:c r="E7" s="8" t="str">
        <x:v>Metric</x:v>
      </x:c>
      <x:c r="F7" s="8" t="str">
        <x:v>Before</x:v>
      </x:c>
      <x:c r="G7" s="8" t="str">
        <x:v>After</x:v>
      </x:c>
    </x:row>
    <x:row r="8" ht="23" customHeight="1">
      <x:c r="A8" s="18" t="str">
        <x:v>Test recordings</x:v>
      </x:c>
      <x:c r="B8" s="19" t="n">
        <x:f>SUM(B17:B20)</x:f>
        <x:v>1037</x:v>
      </x:c>
      <x:c r="C8" s="19" t="n">
        <x:f>SUM(C17:C20)</x:f>
        <x:v>1037</x:v>
      </x:c>
      <x:c r="D8" s="2"/>
      <x:c r="E8" s="18" t="str">
        <x:v>Test recordings</x:v>
      </x:c>
      <x:c r="F8" s="19" t="n">
        <x:f>SUM(F17:F20)</x:f>
        <x:v>1682</x:v>
      </x:c>
      <x:c r="G8" s="19" t="n">
        <x:f>SUM(G17:G20)</x:f>
        <x:v>1682</x:v>
      </x:c>
    </x:row>
    <x:row r="9" ht="23" customHeight="1">
      <x:c r="A9" s="2"/>
      <x:c r="B9" s="14"/>
      <x:c r="C9" s="14"/>
      <x:c r="D9" s="2"/>
      <x:c r="E9" s="2"/>
      <x:c r="F9" s="14"/>
      <x:c r="G9" s="14"/>
    </x:row>
    <x:row r="10" ht="23" customHeight="1">
      <x:c r="A10" s="18" t="str">
        <x:v>Accuracy</x:v>
      </x:c>
      <x:c r="B10" s="20" t="n">
        <x:f>(B17+B20)/B8</x:f>
        <x:v>0.7290260366441659</x:v>
      </x:c>
      <x:c r="C10" s="20" t="n">
        <x:f>(C17+C20)/C8</x:f>
        <x:v>0.9450337512054002</x:v>
      </x:c>
      <x:c r="D10" s="2"/>
      <x:c r="E10" s="18" t="str">
        <x:v>Accuracy</x:v>
      </x:c>
      <x:c r="F10" s="20" t="n">
        <x:f>(F17+F20)/F8</x:f>
        <x:v>0.9964328180737217</x:v>
      </x:c>
      <x:c r="G10" s="20" t="n">
        <x:f>(G17+G20)/G8</x:f>
        <x:v>0.9994054696789536</x:v>
      </x:c>
    </x:row>
    <x:row r="11" ht="23" customHeight="1">
      <x:c r="A11" s="2" t="str">
        <x:v>Gunshot recall</x:v>
      </x:c>
      <x:c r="B11" s="15" t="n">
        <x:f>IF(B17+B18=0,"n.a.",B17/(B17+B18))</x:f>
        <x:v>0.02857142857142857</x:v>
      </x:c>
      <x:c r="C11" s="15" t="n">
        <x:f>IF(C17+C18=0,"n.a.",C17/(C17+C18))</x:f>
        <x:v>0.8892857142857142</x:v>
      </x:c>
      <x:c r="D11" s="2"/>
      <x:c r="E11" s="2" t="str">
        <x:v>Gunshot recall</x:v>
      </x:c>
      <x:c r="F11" s="15" t="n">
        <x:f>IF(F17+F18=0,"n.a.",F17/(F17+F18))</x:f>
        <x:v>0.9942528735632183</x:v>
      </x:c>
      <x:c r="G11" s="15" t="n">
        <x:f>IF(G17+G18=0,"n.a.",G17/(G17+G18))</x:f>
        <x:v>1</x:v>
      </x:c>
    </x:row>
    <x:row r="12" ht="23" customHeight="1">
      <x:c r="A12" s="18" t="str">
        <x:v>Gunshot precision</x:v>
      </x:c>
      <x:c r="B12" s="20" t="n">
        <x:f>IF(B17+B19=0,"n.a.",B17/(B17+B19))</x:f>
        <x:v>0.47058823529411764</x:v>
      </x:c>
      <x:c r="C12" s="20" t="n">
        <x:f>IF(C17+C19=0,"n.a.",C17/(C17+C19))</x:f>
        <x:v>0.9054545454545454</x:v>
      </x:c>
      <x:c r="D12" s="2"/>
      <x:c r="E12" s="18" t="str">
        <x:v>Gunshot precision</x:v>
      </x:c>
      <x:c r="F12" s="20" t="n">
        <x:f>IF(F17+F19=0,"n.a.",F17/(F17+F19))</x:f>
        <x:v>0.9942528735632183</x:v>
      </x:c>
      <x:c r="G12" s="20" t="n">
        <x:f>IF(G17+G19=0,"n.a.",G17/(G17+G19))</x:f>
        <x:v>0.9980879541108987</x:v>
      </x:c>
    </x:row>
    <x:row r="13" ht="23" customHeight="1">
      <x:c r="A13" s="2" t="str">
        <x:v>Gunshot F1</x:v>
      </x:c>
      <x:c r="B13" s="15" t="n">
        <x:f>2*B17/(2*B17+B19+B18)</x:f>
        <x:v>0.05387205387205387</x:v>
      </x:c>
      <x:c r="C13" s="15" t="n">
        <x:f>2*C17/(2*C17+C19+C18)</x:f>
        <x:v>0.8972972972972973</x:v>
      </x:c>
      <x:c r="D13" s="2"/>
      <x:c r="E13" s="2" t="str">
        <x:v>Gunshot F1</x:v>
      </x:c>
      <x:c r="F13" s="15" t="n">
        <x:f>2*F17/(2*F17+F19+F18)</x:f>
        <x:v>0.9942528735632183</x:v>
      </x:c>
      <x:c r="G13" s="15" t="n">
        <x:f>2*G17/(2*G17+G19+G18)</x:f>
        <x:v>0.999043062200957</x:v>
      </x:c>
    </x:row>
    <x:row r="14" ht="23" customHeight="1">
      <x:c r="A14" s="18" t="str">
        <x:v>ROC AUC</x:v>
      </x:c>
      <x:c r="B14" s="21" t="n">
        <x:v>0.6141064351764483</x:v>
      </x:c>
      <x:c r="C14" s="21" t="n">
        <x:v>0.98135025476505</x:v>
      </x:c>
      <x:c r="D14" s="2"/>
      <x:c r="E14" s="18" t="str">
        <x:v>ROC AUC</x:v>
      </x:c>
      <x:c r="F14" s="21" t="n">
        <x:v>0.9999273351829833</x:v>
      </x:c>
      <x:c r="G14" s="21" t="n">
        <x:v>0.9999818337957458</x:v>
      </x:c>
    </x:row>
    <x:row r="15" ht="23" customHeight="1">
      <x:c r="A15" s="2" t="str">
        <x:v>Decision threshold</x:v>
      </x:c>
      <x:c r="B15" s="17" t="n">
        <x:v>0.5</x:v>
      </x:c>
      <x:c r="C15" s="17" t="n">
        <x:v>0.8099999999999999</x:v>
      </x:c>
      <x:c r="D15" s="2"/>
      <x:c r="E15" s="2" t="str">
        <x:v>Decision threshold</x:v>
      </x:c>
      <x:c r="F15" s="17" t="n">
        <x:v>0.5</x:v>
      </x:c>
      <x:c r="G15" s="17" t="n">
        <x:v>0.8099999999999999</x:v>
      </x:c>
    </x:row>
    <x:row r="16" ht="23" customHeight="1">
      <x:c r="A16" s="2"/>
      <x:c r="B16" s="14"/>
      <x:c r="C16" s="14"/>
      <x:c r="D16" s="2"/>
      <x:c r="E16" s="2"/>
      <x:c r="F16" s="14"/>
      <x:c r="G16" s="14"/>
    </x:row>
    <x:row r="17" ht="23" customHeight="1">
      <x:c r="A17" s="18" t="str">
        <x:v>Gunshots detected</x:v>
      </x:c>
      <x:c r="B17" s="19" t="n">
        <x:v>8</x:v>
      </x:c>
      <x:c r="C17" s="19" t="n">
        <x:v>249</x:v>
      </x:c>
      <x:c r="D17" s="2"/>
      <x:c r="E17" s="18" t="str">
        <x:v>Gunshots detected</x:v>
      </x:c>
      <x:c r="F17" s="19" t="n">
        <x:v>519</x:v>
      </x:c>
      <x:c r="G17" s="19" t="n">
        <x:v>522</x:v>
      </x:c>
    </x:row>
    <x:row r="18" ht="23" customHeight="1">
      <x:c r="A18" s="2" t="str">
        <x:v>Gunshots missed</x:v>
      </x:c>
      <x:c r="B18" s="13" t="n">
        <x:v>272</x:v>
      </x:c>
      <x:c r="C18" s="13" t="n">
        <x:v>31</x:v>
      </x:c>
      <x:c r="D18" s="2"/>
      <x:c r="E18" s="2" t="str">
        <x:v>Gunshots missed</x:v>
      </x:c>
      <x:c r="F18" s="13" t="n">
        <x:v>3</x:v>
      </x:c>
      <x:c r="G18" s="13" t="n">
        <x:v>0</x:v>
      </x:c>
    </x:row>
    <x:row r="19" ht="23" customHeight="1">
      <x:c r="A19" s="18" t="str">
        <x:v>False alarms</x:v>
      </x:c>
      <x:c r="B19" s="19" t="n">
        <x:v>9</x:v>
      </x:c>
      <x:c r="C19" s="19" t="n">
        <x:v>26</x:v>
      </x:c>
      <x:c r="D19" s="2"/>
      <x:c r="E19" s="18" t="str">
        <x:v>False alarms</x:v>
      </x:c>
      <x:c r="F19" s="19" t="n">
        <x:v>3</x:v>
      </x:c>
      <x:c r="G19" s="19" t="n">
        <x:v>1</x:v>
      </x:c>
    </x:row>
    <x:row r="20" ht="23" customHeight="1">
      <x:c r="A20" s="2" t="str">
        <x:v>Correct non-gunshots</x:v>
      </x:c>
      <x:c r="B20" s="13" t="n">
        <x:v>748</x:v>
      </x:c>
      <x:c r="C20" s="13" t="n">
        <x:v>731</x:v>
      </x:c>
      <x:c r="D20" s="2"/>
      <x:c r="E20" s="2" t="str">
        <x:v>Correct non-gunshots</x:v>
      </x:c>
      <x:c r="F20" s="13" t="n">
        <x:v>1157</x:v>
      </x:c>
      <x:c r="G20" s="13" t="n">
        <x:v>1159</x:v>
      </x:c>
    </x:row>
    <x:row r="21" ht="23" customHeight="1">
      <x:c r="A21" s="2"/>
      <x:c r="B21" s="14"/>
      <x:c r="C21" s="14"/>
      <x:c r="D21" s="2"/>
      <x:c r="E21" s="2"/>
      <x:c r="F21" s="14"/>
      <x:c r="G21" s="14"/>
    </x:row>
    <x:row r="22" ht="23" customHeight="1">
      <x:c r="A22" s="18" t="str">
        <x:v>False-positive rate</x:v>
      </x:c>
      <x:c r="B22" s="20" t="n">
        <x:f>IF(B19+B20=0,"n.a.",B19/(B19+B20))</x:f>
        <x:v>0.011889035667107</x:v>
      </x:c>
      <x:c r="C22" s="20" t="n">
        <x:f>IF(C19+C20=0,"n.a.",C19/(C19+C20))</x:f>
        <x:v>0.034346103038309116</x:v>
      </x:c>
      <x:c r="D22" s="2"/>
      <x:c r="E22" s="18" t="str">
        <x:v>False-positive rate</x:v>
      </x:c>
      <x:c r="F22" s="20" t="n">
        <x:f>IF(F19+F20=0,"n.a.",F19/(F19+F20))</x:f>
        <x:v>0.002586206896551724</x:v>
      </x:c>
      <x:c r="G22" s="20" t="n">
        <x:f>IF(G19+G20=0,"n.a.",G19/(G19+G20))</x:f>
        <x:v>0.0008620689655172414</x:v>
      </x:c>
    </x:row>
    <x:row r="23" ht="23" customHeight="1">
      <x:c r="A23" s="2" t="str">
        <x:v>Negatives correctly rejected</x:v>
      </x:c>
      <x:c r="B23" s="15" t="n">
        <x:f>IF(B19+B20=0,"n.a.",B20/(B19+B20))</x:f>
        <x:v>0.988110964332893</x:v>
      </x:c>
      <x:c r="C23" s="15" t="n">
        <x:f>IF(C19+C20=0,"n.a.",C20/(C19+C20))</x:f>
        <x:v>0.9656538969616909</x:v>
      </x:c>
      <x:c r="D23" s="2"/>
      <x:c r="E23" s="2" t="str">
        <x:v>Negatives correctly rejected</x:v>
      </x:c>
      <x:c r="F23" s="15" t="n">
        <x:f>IF(F19+F20=0,"n.a.",F20/(F19+F20))</x:f>
        <x:v>0.9974137931034482</x:v>
      </x:c>
      <x:c r="G23" s="15" t="n">
        <x:f>IF(G19+G20=0,"n.a.",G20/(G19+G20))</x:f>
        <x:v>0.9991379310344828</x:v>
      </x:c>
    </x:row>
    <x:row r="24" ht="23" customHeight="1">
      <x:c r="A24" s="2"/>
      <x:c r="B24" s="2"/>
      <x:c r="C24" s="2"/>
      <x:c r="D24" s="2"/>
      <x:c r="E24" s="2"/>
      <x:c r="F24" s="2"/>
      <x:c r="G24" s="2"/>
    </x:row>
    <x:row r="25" ht="23" customHeight="1">
      <x:c r="A25" s="2" t="str">
        <x:v>Selected training epoch</x:v>
      </x:c>
      <x:c r="B25" s="2"/>
      <x:c r="C25" s="2" t="str">
        <x:v>n.a.</x:v>
      </x:c>
      <x:c r="D25" s="2"/>
      <x:c r="E25" s="2" t="str">
        <x:v>Selected training epoch</x:v>
      </x:c>
      <x:c r="F25" s="2"/>
      <x:c r="G25" s="2" t="str">
        <x:v>n.a.</x:v>
      </x:c>
    </x:row>
    <x:row r="26" ht="23" customHeight="1">
      <x:c r="A26" s="22" t="str">
        <x:v>MAD official test split; 1,037 files.</x:v>
      </x:c>
      <x:c r="B26" s="2"/>
      <x:c r="C26" s="2"/>
      <x:c r="D26" s="2"/>
      <x:c r="E26" s="22" t="str">
        <x:v>Before = run #1. After = run #2.</x:v>
      </x:c>
      <x:c r="F26" s="2"/>
      <x:c r="G26" s="2"/>
    </x:row>
    <x:row r="27" ht="23" customHeight="1">
      <x:c r="A27" s="2"/>
      <x:c r="B27" s="2"/>
      <x:c r="C27" s="2"/>
      <x:c r="D27" s="2"/>
      <x:c r="E27" s="2"/>
      <x:c r="F27" s="2"/>
      <x:c r="G27" s="2"/>
    </x:row>
    <x:row r="28" ht="23" customHeight="1">
      <x:c r="A28" s="2"/>
      <x:c r="B28" s="2"/>
      <x:c r="C28" s="2"/>
      <x:c r="D28" s="2"/>
      <x:c r="E28" s="2"/>
      <x:c r="F28" s="2"/>
      <x:c r="G28" s="2"/>
    </x:row>
    <x:row r="29" ht="23" customHeight="1">
      <x:c r="A29" s="2"/>
      <x:c r="B29" s="2"/>
      <x:c r="C29" s="2"/>
      <x:c r="D29" s="2"/>
      <x:c r="E29" s="2"/>
      <x:c r="F29" s="2"/>
      <x:c r="G29" s="2"/>
    </x:row>
    <x:row r="30" ht="23" customHeight="1">
      <x:c r="A30" s="2"/>
      <x:c r="B30" s="2"/>
      <x:c r="C30" s="2"/>
      <x:c r="D30" s="2"/>
      <x:c r="E30" s="2"/>
      <x:c r="F30" s="2"/>
      <x:c r="G30" s="2"/>
    </x:row>
    <x:row r="31" ht="23" customHeight="1">
      <x:c r="A31" s="5" t="str">
        <x:v>Background cycle — model run #4</x:v>
      </x:c>
      <x:c r="B31" s="2"/>
      <x:c r="C31" s="2"/>
      <x:c r="D31" s="2"/>
      <x:c r="E31" s="2"/>
      <x:c r="F31" s="2"/>
      <x:c r="G31" s="2"/>
    </x:row>
    <x:row r="32" ht="23" customHeight="1">
      <x:c r="A32" s="8" t="str">
        <x:v>Metric</x:v>
      </x:c>
      <x:c r="B32" s="8" t="str">
        <x:v>Before</x:v>
      </x:c>
      <x:c r="C32" s="8" t="str">
        <x:v>After</x:v>
      </x:c>
      <x:c r="D32" s="2"/>
      <x:c r="E32" s="2"/>
      <x:c r="F32" s="2"/>
      <x:c r="G32" s="2"/>
    </x:row>
    <x:row r="33" ht="23" customHeight="1">
      <x:c r="A33" s="2" t="str">
        <x:v>Whole files</x:v>
      </x:c>
      <x:c r="B33" s="2" t="n">
        <x:v>57</x:v>
      </x:c>
      <x:c r="C33" s="2" t="n">
        <x:v>57</x:v>
      </x:c>
      <x:c r="D33" s="2"/>
      <x:c r="E33" s="2"/>
      <x:c r="F33" s="2"/>
      <x:c r="G33" s="2"/>
    </x:row>
    <x:row r="34" ht="23" customHeight="1">
      <x:c r="A34" s="2" t="str">
        <x:v>Whole files flagged</x:v>
      </x:c>
      <x:c r="B34" s="2" t="n">
        <x:v>20</x:v>
      </x:c>
      <x:c r="C34" s="2" t="n">
        <x:v>11</x:v>
      </x:c>
      <x:c r="D34" s="2"/>
      <x:c r="E34" s="2"/>
      <x:c r="F34" s="2"/>
      <x:c r="G34" s="2"/>
    </x:row>
    <x:row r="35" ht="23" customHeight="1">
      <x:c r="A35" s="2" t="str">
        <x:v>Whole files rejected</x:v>
      </x:c>
      <x:c r="B35" s="9" t="n">
        <x:f>(B33-B34)/B33</x:f>
        <x:v>0.6491228070175439</x:v>
      </x:c>
      <x:c r="C35" s="9" t="n">
        <x:f>(C33-C34)/C33</x:f>
        <x:v>0.8070175438596491</x:v>
      </x:c>
      <x:c r="D35" s="2"/>
      <x:c r="E35" s="2"/>
      <x:c r="F35" s="2"/>
      <x:c r="G35" s="2"/>
    </x:row>
    <x:row r="36" ht="23" customHeight="1">
      <x:c r="A36" s="2" t="str">
        <x:v>Short clips</x:v>
      </x:c>
      <x:c r="B36" s="2" t="n">
        <x:v>425</x:v>
      </x:c>
      <x:c r="C36" s="2" t="n">
        <x:v>425</x:v>
      </x:c>
      <x:c r="D36" s="2"/>
      <x:c r="E36" s="2"/>
      <x:c r="F36" s="2"/>
      <x:c r="G36" s="2"/>
    </x:row>
    <x:row r="37" ht="23" customHeight="1">
      <x:c r="A37" s="2" t="str">
        <x:v>Short clips flagged</x:v>
      </x:c>
      <x:c r="B37" s="2" t="n">
        <x:v>89</x:v>
      </x:c>
      <x:c r="C37" s="2" t="n">
        <x:v>40</x:v>
      </x:c>
      <x:c r="D37" s="2"/>
      <x:c r="E37" s="2"/>
      <x:c r="F37" s="2"/>
      <x:c r="G37" s="2"/>
    </x:row>
    <x:row r="38" ht="23" customHeight="1">
      <x:c r="A38" s="2" t="str">
        <x:v>Short clips correctly rejected</x:v>
      </x:c>
      <x:c r="B38" s="9" t="n">
        <x:f>(B36-B37)/B36</x:f>
        <x:v>0.7905882352941176</x:v>
      </x:c>
      <x:c r="C38" s="9" t="n">
        <x:f>(C36-C37)/C36</x:f>
        <x:v>0.9058823529411765</x:v>
      </x:c>
      <x:c r="D38" s="2"/>
      <x:c r="E38" s="2"/>
      <x:c r="F38" s="2"/>
      <x:c r="G38" s="2"/>
    </x:row>
    <x:row r="39" ht="23" customHeight="1">
      <x:c r="A39" s="2" t="str">
        <x:v>Decision threshold</x:v>
      </x:c>
      <x:c r="B39" s="11" t="n">
        <x:v>0.4799999999999999</x:v>
      </x:c>
      <x:c r="C39" s="11" t="n">
        <x:v>0.19999999999999996</x:v>
      </x:c>
      <x:c r="D39" s="2"/>
      <x:c r="E39" s="2"/>
      <x:c r="F39" s="2"/>
      <x:c r="G39" s="2"/>
    </x:row>
    <x:row r="40" ht="23" customHeight="1">
      <x:c r="A40" s="2" t="str">
        <x:v>After-data status</x:v>
      </x:c>
      <x:c r="B40" s="2" t="str">
        <x:v>New data</x:v>
      </x:c>
      <x:c r="C40" s="2" t="str">
        <x:v>Reused data</x:v>
      </x:c>
      <x:c r="D40" s="2"/>
      <x:c r="E40" s="2"/>
      <x:c r="F40" s="2"/>
      <x:c r="G40" s="2"/>
    </x:row>
    <x:row r="41" ht="23" customHeight="1">
      <x:c r="A41" s="2"/>
      <x:c r="B41" s="2"/>
      <x:c r="C41" s="2"/>
      <x:c r="D41" s="2"/>
      <x:c r="E41" s="2"/>
      <x:c r="F41" s="2"/>
      <x:c r="G41" s="2"/>
    </x:row>
    <x:row r="42" ht="23" customHeight="1">
      <x:c r="A42" s="22" t="str">
        <x:v>Your screenshot calls this background cycle run #3. Saved model/output folders call it run #4.</x:v>
      </x:c>
      <x:c r="B42" s="22"/>
      <x:c r="C42" s="22"/>
      <x:c r="D42" s="22"/>
      <x:c r="E42" s="22"/>
      <x:c r="F42" s="22"/>
      <x:c r="G42" s="22"/>
    </x:row>
    <x:row r="43" ht="23" customHeight="1">
      <x:c r="A43" s="22" t="str">
        <x:v>20/57 and 11/57 are whole-file counts. 79.06% and 90.59% are short-clip rejection rates.</x:v>
      </x:c>
      <x:c r="B43" s="22"/>
      <x:c r="C43" s="22"/>
      <x:c r="D43" s="22"/>
      <x:c r="E43" s="22"/>
      <x:c r="F43" s="22"/>
      <x:c r="G43" s="22"/>
    </x:row>
    <x:row r="44" ht="23" customHeight="1">
      <x:c r="A44" s="22" t="str">
        <x:v>Run #2 after-training ROC AUC is 0.9814 in the saved report; the screenshot shows 0.8914.</x:v>
      </x:c>
      <x:c r="B44" s="22"/>
      <x:c r="C44" s="22"/>
      <x:c r="D44" s="22"/>
      <x:c r="E44" s="22"/>
      <x:c r="F44" s="22"/>
      <x:c r="G44" s="22"/>
    </x:row>
    <x:row r="45" ht="23" customHeight="1">
      <x:c r="A45" s="22"/>
      <x:c r="B45" s="22"/>
      <x:c r="C45" s="22"/>
      <x:c r="D45" s="22"/>
      <x:c r="E45" s="22"/>
      <x:c r="F45" s="22"/>
      <x:c r="G45" s="22"/>
    </x:row>
    <x:row r="46" ht="23" customHeight="1">
      <x:c r="A46" s="22" t="str">
        <x:v>Sources: saved run #1, run #2 MAD, and run #4 background evaluation reports.</x:v>
      </x:c>
      <x:c r="B46" s="22"/>
      <x:c r="C46" s="22"/>
      <x:c r="D46" s="22"/>
      <x:c r="E46" s="22"/>
      <x:c r="F46" s="22"/>
      <x:c r="G46" s="22"/>
    </x:row>
    <x:row r="47" ht="23" customHeight="1">
      <x:c r="A47" s="2"/>
      <x:c r="B47" s="2"/>
      <x:c r="C47" s="2"/>
      <x:c r="D47" s="2"/>
      <x:c r="E47" s="2"/>
      <x:c r="F47" s="2"/>
      <x:c r="G47" s="2"/>
    </x:row>
    <x:row r="48" ht="23" customHeight="1">
      <x:c r="A48" s="2"/>
      <x:c r="B48" s="2"/>
      <x:c r="C48" s="2"/>
      <x:c r="D48" s="2"/>
      <x:c r="E48" s="2"/>
      <x:c r="F48" s="2"/>
      <x:c r="G48" s="2"/>
    </x:row>
    <x:row r="49" ht="23" customHeight="1">
      <x:c r="A49" s="2"/>
      <x:c r="B49" s="2"/>
      <x:c r="C49" s="2"/>
      <x:c r="D49" s="2"/>
      <x:c r="E49" s="2"/>
      <x:c r="F49" s="2"/>
      <x:c r="G49" s="2"/>
    </x:row>
    <x:row r="50" ht="23" customHeight="1">
      <x:c r="A50" s="2"/>
      <x:c r="B50" s="2"/>
      <x:c r="C50" s="2"/>
      <x:c r="D50" s="2"/>
      <x:c r="E50" s="2"/>
      <x:c r="F50" s="2"/>
      <x:c r="G50" s="2"/>
    </x:row>
    <x:row r="51" ht="23" customHeight="1">
      <x:c r="A51" s="2"/>
      <x:c r="B51" s="2"/>
      <x:c r="C51" s="2"/>
      <x:c r="D51" s="2"/>
      <x:c r="E51" s="2"/>
      <x:c r="F51" s="2"/>
      <x:c r="G51" s="2"/>
    </x:row>
    <x:row r="52" ht="23" customHeight="1">
      <x:c r="A52" s="2"/>
      <x:c r="B52" s="2"/>
      <x:c r="C52" s="2"/>
      <x:c r="D52" s="2"/>
      <x:c r="E52" s="2"/>
      <x:c r="F52" s="2"/>
      <x:c r="G52" s="2"/>
    </x:row>
    <x:row r="53" ht="23" customHeight="1">
      <x:c r="A53" s="2"/>
      <x:c r="B53" s="2"/>
      <x:c r="C53" s="2"/>
      <x:c r="D53" s="2"/>
      <x:c r="E53" s="2"/>
      <x:c r="F53" s="2"/>
      <x:c r="G53" s="2"/>
    </x:row>
    <x:row r="54" ht="23" customHeight="1">
      <x:c r="A54" s="2"/>
      <x:c r="B54" s="2"/>
      <x:c r="C54" s="2"/>
      <x:c r="D54" s="2"/>
      <x:c r="E54" s="2"/>
      <x:c r="F54" s="2"/>
      <x:c r="G54" s="2"/>
    </x:row>
    <x:row r="55" ht="23" customHeight="1">
      <x:c r="A55" s="2"/>
      <x:c r="B55" s="2"/>
      <x:c r="C55" s="2"/>
      <x:c r="D55" s="2"/>
      <x:c r="E55" s="2"/>
      <x:c r="F55" s="2"/>
      <x:c r="G55" s="2"/>
    </x:row>
    <x:row r="56" ht="23" customHeight="1">
      <x:c r="A56" s="2"/>
      <x:c r="B56" s="2"/>
      <x:c r="C56" s="2"/>
      <x:c r="D56" s="2"/>
      <x:c r="E56" s="2"/>
      <x:c r="F56" s="2"/>
      <x:c r="G56" s="2"/>
    </x:row>
    <x:row r="57" ht="23" customHeight="1">
      <x:c r="A57" s="2"/>
      <x:c r="B57" s="2"/>
      <x:c r="C57" s="2"/>
      <x:c r="D57" s="2"/>
      <x:c r="E57" s="2"/>
      <x:c r="F57" s="2"/>
      <x:c r="G57" s="2"/>
    </x:row>
    <x:row r="58" ht="23" customHeight="1">
      <x:c r="A58" s="2"/>
      <x:c r="B58" s="2"/>
      <x:c r="C58" s="2"/>
      <x:c r="D58" s="2"/>
      <x:c r="E58" s="2"/>
      <x:c r="F58" s="2"/>
      <x:c r="G58" s="2"/>
    </x:row>
    <x:row r="59" ht="23" customHeight="1">
      <x:c r="A59" s="2"/>
      <x:c r="B59" s="2"/>
      <x:c r="C59" s="2"/>
      <x:c r="D59" s="2"/>
      <x:c r="E59" s="2"/>
      <x:c r="F59" s="2"/>
      <x:c r="G59" s="2"/>
    </x:row>
    <x:row r="60" ht="23" customHeight="1">
      <x:c r="A60" s="2"/>
      <x:c r="B60" s="2"/>
      <x:c r="C60" s="2"/>
      <x:c r="D60" s="2"/>
      <x:c r="E60" s="2"/>
      <x:c r="F60" s="2"/>
      <x:c r="G60" s="2"/>
    </x:row>
    <x:row r="61" ht="23" customHeight="1">
      <x:c r="A61" s="2"/>
      <x:c r="B61" s="2"/>
      <x:c r="C61" s="2"/>
      <x:c r="D61" s="2"/>
      <x:c r="E61" s="2"/>
      <x:c r="F61" s="2"/>
      <x:c r="G61" s="2"/>
    </x:row>
    <x:row r="62" ht="23" customHeight="1">
      <x:c r="A62" s="2"/>
      <x:c r="B62" s="2"/>
      <x:c r="C62" s="2"/>
      <x:c r="D62" s="2"/>
      <x:c r="E62" s="2"/>
      <x:c r="F62" s="2"/>
      <x:c r="G62" s="2"/>
    </x:row>
    <x:row r="63" ht="23" customHeight="1">
      <x:c r="A63" s="2"/>
      <x:c r="B63" s="2"/>
      <x:c r="C63" s="2"/>
      <x:c r="D63" s="2"/>
      <x:c r="E63" s="2"/>
      <x:c r="F63" s="2"/>
      <x:c r="G63" s="2"/>
    </x:row>
    <x:row r="64" ht="23" customHeight="1">
      <x:c r="A64" s="2"/>
      <x:c r="B64" s="2"/>
      <x:c r="C64" s="2"/>
      <x:c r="D64" s="2"/>
      <x:c r="E64" s="2"/>
      <x:c r="F64" s="2"/>
      <x:c r="G64" s="2"/>
    </x:row>
    <x:row r="65" ht="23" customHeight="1">
      <x:c r="A65" s="2"/>
      <x:c r="B65" s="2"/>
      <x:c r="C65" s="2"/>
      <x:c r="D65" s="2"/>
      <x:c r="E65" s="2"/>
      <x:c r="F65" s="2"/>
      <x:c r="G65" s="2"/>
    </x:row>
  </x:sheetData>
  <x:pageMargins left="0.7" right="0.7" top="0.75" bottom="0.75" header="0.3" footer="0.3"/>
</x:worksheet>
</file>