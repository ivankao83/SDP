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7d735fe6a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b4edf39e1b8c47b0"/>
    <x:sheet xmlns:r="http://schemas.openxmlformats.org/officeDocument/2006/relationships" name="Source metrics" sheetId="2" r:id="R1f3e29baad55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%"/>
    <x:numFmt numFmtId="202" formatCode="0.0000"/>
    <x:numFmt numFmtId="203" formatCode="0.00"/>
    <x:numFmt numFmtId="204" formatCode="+0.00&quot; pp&quot;;-0.00&quot; pp&quot;;0.00&quot; pp&quot;"/>
  </x:numFmts>
  <x:fonts count="8">
    <x:font>
      <x:sz val="11"/>
      <x:name val="Carlito"/>
    </x:font>
    <x:font>
      <x:sz val="11"/>
      <x:color rgb="FF24364B"/>
      <x:name val="Arial"/>
    </x:font>
    <x:font>
      <x:b/>
      <x:sz val="16"/>
      <x:color rgb="FF203B59"/>
      <x:name val="Arial"/>
    </x:font>
    <x:font>
      <x:i/>
      <x:sz val="11"/>
      <x:color rgb="FF5E6A78"/>
      <x:name val="Arial"/>
    </x:font>
    <x:font>
      <x:b/>
      <x:sz val="11"/>
      <x:color rgb="FFFFFFFF"/>
      <x:name val="Arial"/>
    </x:font>
    <x:font>
      <x:b/>
      <x:sz val="11"/>
      <x:color rgb="FF203B59"/>
      <x:name val="Arial"/>
    </x:font>
    <x:font>
      <x:sz val="11"/>
      <x:color rgb="FF5E6A78"/>
      <x:name val="Arial"/>
    </x:font>
    <x:font>
      <x:sz val="10"/>
      <x:color rgb="FF355D8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9"/>
      </x:patternFill>
    </x:fill>
    <x:fill>
      <x:patternFill patternType="solid">
        <x:fgColor rgb="FFEAF0F7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1530a41274029" /><Relationship Type="http://schemas.openxmlformats.org/officeDocument/2006/relationships/theme" Target="/xl/theme/theme1.xml" Id="Rc82ed0643a384736" /><Relationship Type="http://schemas.openxmlformats.org/officeDocument/2006/relationships/sharedStrings" Target="/xl/sharedStrings.xml" Id="Rc703f9ecf00b4ec5" /><Relationship Type="http://schemas.openxmlformats.org/officeDocument/2006/relationships/worksheet" Target="/xl/worksheets/sheet1.xml" Id="Rb4edf39e1b8c47b0" /><Relationship Type="http://schemas.openxmlformats.org/officeDocument/2006/relationships/worksheet" Target="/xl/worksheets/sheet2.xml" Id="R1f3e29baad5546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9"/>
  </x:sheetPr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Gunshot detection: run comparison</x:v>
      </x:c>
      <x:c r="B2" s="2"/>
      <x:c r="C2" s="2"/>
      <x:c r="D2" s="2"/>
      <x:c r="E2" s="2"/>
    </x:row>
    <x:row r="3" ht="24" customHeight="1">
      <x:c r="A3" s="4" t="str">
        <x:v>Recording-level results. Percentages use two decimals.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0" customHeight="1">
      <x:c r="A5" s="7" t="str">
        <x:v>Metric</x:v>
      </x:c>
      <x:c r="B5" s="7" t="str">
        <x:v>Run #1</x:v>
      </x:c>
      <x:c r="C5" s="7" t="str">
        <x:v>Run #2 before</x:v>
      </x:c>
      <x:c r="D5" s="7" t="str">
        <x:v>Run #2 after</x:v>
      </x:c>
      <x:c r="E5" s="7" t="str">
        <x:v>Original retest</x:v>
      </x:c>
    </x:row>
    <x:row r="6" ht="24" customHeight="1">
      <x:c r="A6" s="2" t="str">
        <x:v>Test dataset</x:v>
      </x:c>
      <x:c r="B6" s="8" t="str">
        <x:f>'Source metrics'!B6</x:f>
        <x:v>Original test</x:v>
      </x:c>
      <x:c r="C6" s="8" t="str">
        <x:f>'Source metrics'!B7</x:f>
        <x:v>MAD test</x:v>
      </x:c>
      <x:c r="D6" s="8" t="str">
        <x:f>'Source metrics'!B10</x:f>
        <x:v>MAD test</x:v>
      </x:c>
      <x:c r="E6" s="8" t="str">
        <x:f>'Source metrics'!B11</x:f>
        <x:v>Original test</x:v>
      </x:c>
    </x:row>
    <x:row r="7" ht="24" customHeight="1">
      <x:c r="A7" s="2" t="str">
        <x:v>Training data</x:v>
      </x:c>
      <x:c r="B7" s="8" t="str">
        <x:f>'Source metrics'!D6</x:f>
        <x:v>Original data</x:v>
      </x:c>
      <x:c r="C7" s="8" t="str">
        <x:f>'Source metrics'!D7</x:f>
        <x:v>Original data</x:v>
      </x:c>
      <x:c r="D7" s="8" t="str">
        <x:f>'Source metrics'!D10</x:f>
        <x:v>Original + MAD</x:v>
      </x:c>
      <x:c r="E7" s="8" t="str">
        <x:f>'Source metrics'!D11</x:f>
        <x:v>Original + MAD</x:v>
      </x:c>
    </x:row>
    <x:row r="8" ht="24" customHeight="1">
      <x:c r="A8" s="2" t="str">
        <x:v>Test recordings</x:v>
      </x:c>
      <x:c r="B8" s="10" t="n">
        <x:f>SUM('Source metrics'!F6:I6)</x:f>
        <x:v>1682</x:v>
      </x:c>
      <x:c r="C8" s="10" t="n">
        <x:f>SUM('Source metrics'!F7:I7)</x:f>
        <x:v>1037</x:v>
      </x:c>
      <x:c r="D8" s="10" t="n">
        <x:f>SUM('Source metrics'!F10:I10)</x:f>
        <x:v>1037</x:v>
      </x:c>
      <x:c r="E8" s="10" t="n">
        <x:f>SUM('Source metrics'!F11:I11)</x:f>
        <x:v>1682</x:v>
      </x:c>
    </x:row>
    <x:row r="9" ht="24" customHeight="1">
      <x:c r="A9" s="2"/>
      <x:c r="B9" s="9"/>
      <x:c r="C9" s="9"/>
      <x:c r="D9" s="9"/>
      <x:c r="E9" s="9"/>
    </x:row>
    <x:row r="10" ht="24" customHeight="1">
      <x:c r="A10" s="2" t="str">
        <x:v>Accuracy</x:v>
      </x:c>
      <x:c r="B10" s="11" t="n">
        <x:f>('Source metrics'!F6+'Source metrics'!I6)/B8</x:f>
        <x:v>0.9964328180737217</x:v>
      </x:c>
      <x:c r="C10" s="11" t="n">
        <x:f>('Source metrics'!F7+'Source metrics'!I7)/C8</x:f>
        <x:v>0.7290260366441659</x:v>
      </x:c>
      <x:c r="D10" s="15" t="n">
        <x:f>('Source metrics'!F10+'Source metrics'!I10)/D8</x:f>
        <x:v>0.9450337512054002</x:v>
      </x:c>
      <x:c r="E10" s="11" t="n">
        <x:f>('Source metrics'!F11+'Source metrics'!I11)/E8</x:f>
        <x:v>0.9994054696789536</x:v>
      </x:c>
    </x:row>
    <x:row r="11" ht="24" customHeight="1">
      <x:c r="A11" s="2" t="str">
        <x:v>Gunshot recall</x:v>
      </x:c>
      <x:c r="B11" s="11" t="n">
        <x:f>'Source metrics'!F6/('Source metrics'!F6+'Source metrics'!G6)</x:f>
        <x:v>0.9942528735632183</x:v>
      </x:c>
      <x:c r="C11" s="11" t="n">
        <x:f>'Source metrics'!F7/('Source metrics'!F7+'Source metrics'!G7)</x:f>
        <x:v>0.02857142857142857</x:v>
      </x:c>
      <x:c r="D11" s="15" t="n">
        <x:f>'Source metrics'!F10/('Source metrics'!F10+'Source metrics'!G10)</x:f>
        <x:v>0.8892857142857142</x:v>
      </x:c>
      <x:c r="E11" s="11" t="n">
        <x:f>'Source metrics'!F11/('Source metrics'!F11+'Source metrics'!G11)</x:f>
        <x:v>1</x:v>
      </x:c>
    </x:row>
    <x:row r="12" ht="24" customHeight="1">
      <x:c r="A12" s="2" t="str">
        <x:v>Gunshot precision</x:v>
      </x:c>
      <x:c r="B12" s="11" t="n">
        <x:f>'Source metrics'!F6/('Source metrics'!F6+'Source metrics'!H6)</x:f>
        <x:v>0.9942528735632183</x:v>
      </x:c>
      <x:c r="C12" s="11" t="n">
        <x:f>'Source metrics'!F7/('Source metrics'!F7+'Source metrics'!H7)</x:f>
        <x:v>0.47058823529411764</x:v>
      </x:c>
      <x:c r="D12" s="15" t="n">
        <x:f>'Source metrics'!F10/('Source metrics'!F10+'Source metrics'!H10)</x:f>
        <x:v>0.9054545454545454</x:v>
      </x:c>
      <x:c r="E12" s="11" t="n">
        <x:f>'Source metrics'!F11/('Source metrics'!F11+'Source metrics'!H11)</x:f>
        <x:v>0.9980879541108987</x:v>
      </x:c>
    </x:row>
    <x:row r="13" ht="24" customHeight="1">
      <x:c r="A13" s="2" t="str">
        <x:v>Gunshot F1</x:v>
      </x:c>
      <x:c r="B13" s="11" t="n">
        <x:f>2*'Source metrics'!F6/(2*'Source metrics'!F6+'Source metrics'!G6+'Source metrics'!H6)</x:f>
        <x:v>0.9942528735632183</x:v>
      </x:c>
      <x:c r="C13" s="11" t="n">
        <x:f>2*'Source metrics'!F7/(2*'Source metrics'!F7+'Source metrics'!G7+'Source metrics'!H7)</x:f>
        <x:v>0.05387205387205387</x:v>
      </x:c>
      <x:c r="D13" s="15" t="n">
        <x:f>2*'Source metrics'!F10/(2*'Source metrics'!F10+'Source metrics'!G10+'Source metrics'!H10)</x:f>
        <x:v>0.8972972972972973</x:v>
      </x:c>
      <x:c r="E13" s="11" t="n">
        <x:f>2*'Source metrics'!F11/(2*'Source metrics'!F11+'Source metrics'!G11+'Source metrics'!H11)</x:f>
        <x:v>0.999043062200957</x:v>
      </x:c>
    </x:row>
    <x:row r="14" ht="24" customHeight="1">
      <x:c r="A14" s="2" t="str">
        <x:v>ROC AUC</x:v>
      </x:c>
      <x:c r="B14" s="12" t="n">
        <x:f>'Source metrics'!N6</x:f>
        <x:v>0.9999273351829833</x:v>
      </x:c>
      <x:c r="C14" s="12" t="n">
        <x:f>'Source metrics'!N7</x:f>
        <x:v>0.6141064351764483</x:v>
      </x:c>
      <x:c r="D14" s="12" t="n">
        <x:f>'Source metrics'!N10</x:f>
        <x:v>0.98135025476505</x:v>
      </x:c>
      <x:c r="E14" s="12" t="n">
        <x:f>'Source metrics'!N11</x:f>
        <x:v>0.9999818337957458</x:v>
      </x:c>
    </x:row>
    <x:row r="15" ht="24" customHeight="1">
      <x:c r="A15" s="2" t="str">
        <x:v>Decision threshold</x:v>
      </x:c>
      <x:c r="B15" s="13" t="n">
        <x:f>'Source metrics'!E6</x:f>
        <x:v>0.5</x:v>
      </x:c>
      <x:c r="C15" s="13" t="n">
        <x:f>'Source metrics'!E7</x:f>
        <x:v>0.5</x:v>
      </x:c>
      <x:c r="D15" s="13" t="n">
        <x:f>'Source metrics'!E10</x:f>
        <x:v>0.8099999999999999</x:v>
      </x:c>
      <x:c r="E15" s="13" t="n">
        <x:f>'Source metrics'!E11</x:f>
        <x:v>0.8099999999999999</x:v>
      </x:c>
    </x:row>
    <x:row r="16" ht="24" customHeight="1">
      <x:c r="A16" s="2"/>
      <x:c r="B16" s="9"/>
      <x:c r="C16" s="9"/>
      <x:c r="D16" s="9"/>
      <x:c r="E16" s="9"/>
    </x:row>
    <x:row r="17" ht="24" customHeight="1">
      <x:c r="A17" s="2" t="str">
        <x:v>Gunshots detected</x:v>
      </x:c>
      <x:c r="B17" s="10" t="n">
        <x:f>'Source metrics'!F6</x:f>
        <x:v>519</x:v>
      </x:c>
      <x:c r="C17" s="10" t="n">
        <x:f>'Source metrics'!F7</x:f>
        <x:v>8</x:v>
      </x:c>
      <x:c r="D17" s="10" t="n">
        <x:f>'Source metrics'!F10</x:f>
        <x:v>249</x:v>
      </x:c>
      <x:c r="E17" s="10" t="n">
        <x:f>'Source metrics'!F11</x:f>
        <x:v>522</x:v>
      </x:c>
    </x:row>
    <x:row r="18" ht="24" customHeight="1">
      <x:c r="A18" s="2" t="str">
        <x:v>Gunshots missed</x:v>
      </x:c>
      <x:c r="B18" s="10" t="n">
        <x:f>'Source metrics'!G6</x:f>
        <x:v>3</x:v>
      </x:c>
      <x:c r="C18" s="10" t="n">
        <x:f>'Source metrics'!G7</x:f>
        <x:v>272</x:v>
      </x:c>
      <x:c r="D18" s="10" t="n">
        <x:f>'Source metrics'!G10</x:f>
        <x:v>31</x:v>
      </x:c>
      <x:c r="E18" s="10" t="n">
        <x:f>'Source metrics'!G11</x:f>
        <x:v>0</x:v>
      </x:c>
    </x:row>
    <x:row r="19" ht="24" customHeight="1">
      <x:c r="A19" s="2" t="str">
        <x:v>False alarms</x:v>
      </x:c>
      <x:c r="B19" s="10" t="n">
        <x:f>'Source metrics'!H6</x:f>
        <x:v>3</x:v>
      </x:c>
      <x:c r="C19" s="10" t="n">
        <x:f>'Source metrics'!H7</x:f>
        <x:v>9</x:v>
      </x:c>
      <x:c r="D19" s="10" t="n">
        <x:f>'Source metrics'!H10</x:f>
        <x:v>26</x:v>
      </x:c>
      <x:c r="E19" s="10" t="n">
        <x:f>'Source metrics'!H11</x:f>
        <x:v>1</x:v>
      </x:c>
    </x:row>
    <x:row r="20" ht="24" customHeight="1">
      <x:c r="A20" s="2" t="str">
        <x:v>Correct non-gunshots</x:v>
      </x:c>
      <x:c r="B20" s="10" t="n">
        <x:f>'Source metrics'!I6</x:f>
        <x:v>1157</x:v>
      </x:c>
      <x:c r="C20" s="10" t="n">
        <x:f>'Source metrics'!I7</x:f>
        <x:v>748</x:v>
      </x:c>
      <x:c r="D20" s="10" t="n">
        <x:f>'Source metrics'!I10</x:f>
        <x:v>731</x:v>
      </x:c>
      <x:c r="E20" s="10" t="n">
        <x:f>'Source metrics'!I11</x:f>
        <x:v>1159</x:v>
      </x:c>
    </x:row>
    <x:row r="21" ht="24" customHeight="1">
      <x:c r="A21" s="2"/>
      <x:c r="B21" s="2"/>
      <x:c r="C21" s="2"/>
      <x:c r="D21" s="2"/>
      <x:c r="E21" s="2"/>
    </x:row>
    <x:row r="22" ht="24" customHeight="1">
      <x:c r="A22" s="17" t="str">
        <x:v>MAD change after revision</x:v>
      </x:c>
      <x:c r="B22" s="17"/>
      <x:c r="C22" s="17"/>
      <x:c r="D22" s="17"/>
      <x:c r="E22" s="17"/>
    </x:row>
    <x:row r="23" ht="24" customHeight="1">
      <x:c r="A23" s="2" t="str">
        <x:v>Accuracy change</x:v>
      </x:c>
      <x:c r="B23" s="19" t="n">
        <x:f>(D10-C10)*100</x:f>
        <x:v>21.600771456123436</x:v>
      </x:c>
      <x:c r="C23" s="2"/>
      <x:c r="D23" s="2"/>
      <x:c r="E23" s="2"/>
    </x:row>
    <x:row r="24" ht="24" customHeight="1">
      <x:c r="A24" s="2" t="str">
        <x:v>Recall change</x:v>
      </x:c>
      <x:c r="B24" s="19" t="n">
        <x:f>(D11-C11)*100</x:f>
        <x:v>86.07142857142857</x:v>
      </x:c>
      <x:c r="C24" s="2"/>
      <x:c r="D24" s="2"/>
      <x:c r="E24" s="2"/>
    </x:row>
    <x:row r="25" ht="24" customHeight="1">
      <x:c r="A25" s="2" t="str">
        <x:v>Precision change</x:v>
      </x:c>
      <x:c r="B25" s="19" t="n">
        <x:f>(D12-C12)*100</x:f>
        <x:v>43.48663101604278</x:v>
      </x:c>
      <x:c r="C25" s="2"/>
      <x:c r="D25" s="2"/>
      <x:c r="E25" s="2"/>
    </x:row>
    <x:row r="26" ht="24" customHeight="1">
      <x:c r="A26" s="2" t="str">
        <x:v>F1 change</x:v>
      </x:c>
      <x:c r="B26" s="19" t="n">
        <x:f>(D13-C13)*100</x:f>
        <x:v>84.34252434252436</x:v>
      </x:c>
      <x:c r="C26" s="2"/>
      <x:c r="D26" s="2"/>
      <x:c r="E26" s="2"/>
    </x:row>
    <x:row r="27" ht="24" customHeight="1">
      <x:c r="A27" s="2"/>
      <x:c r="B27" s="2"/>
      <x:c r="C27" s="2"/>
      <x:c r="D27" s="2"/>
      <x:c r="E27" s="2"/>
    </x:row>
    <x:row r="28" ht="24" customHeight="1">
      <x:c r="A28" s="20" t="str">
        <x:v>Evaluation notes</x:v>
      </x:c>
      <x:c r="B28" s="2"/>
      <x:c r="C28" s="2"/>
      <x:c r="D28" s="2"/>
      <x:c r="E28" s="2"/>
    </x:row>
    <x:row r="29" ht="24" customHeight="1">
      <x:c r="A29" s="22" t="str">
        <x:v>Run #1 uses the original test set. Before/after MAD comparisons use the same 1,037 recordings.</x:v>
      </x:c>
      <x:c r="B29" s="22"/>
      <x:c r="C29" s="22"/>
      <x:c r="D29" s="22"/>
      <x:c r="E29" s="22"/>
    </x:row>
    <x:row r="30" ht="24" customHeight="1">
      <x:c r="A30" s="22" t="str">
        <x:v>The test benchmarks informed development. These are reused benchmarks, not untouched deployment estimates.</x:v>
      </x:c>
      <x:c r="B30" s="22"/>
      <x:c r="C30" s="22"/>
      <x:c r="D30" s="22"/>
      <x:c r="E30" s="22"/>
    </x:row>
    <x:row r="31" ht="24" customHeight="1">
      <x:c r="A31" s="22" t="str">
        <x:v>The final threshold was selected on validation data. MAD shelling and mixed-event labels need review.</x:v>
      </x:c>
      <x:c r="B31" s="22"/>
      <x:c r="C31" s="22"/>
      <x:c r="D31" s="22"/>
      <x:c r="E31" s="22"/>
    </x:row>
    <x:row r="32" ht="24" customHeight="1">
      <x:c r="A32" s="22" t="str">
        <x:v>Source metrics includes the intermediate MAD-only revision and links to the evaluation JSON files.</x:v>
      </x:c>
      <x:c r="B32" s="22"/>
      <x:c r="C32" s="22"/>
      <x:c r="D32" s="22"/>
      <x:c r="E32" s="22"/>
    </x:row>
    <x:row r="33" ht="24" customHeight="1">
      <x:c r="A33" s="2"/>
      <x:c r="B33" s="2"/>
      <x:c r="C33" s="2"/>
      <x:c r="D33" s="2"/>
      <x:c r="E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RowHeight="15"/>
  <x:cols>
    <x:col min="1" max="1" width="27" hidden="0" customWidth="1"/>
    <x:col min="2" max="2" width="21" hidden="0" customWidth="1"/>
    <x:col min="3" max="3" width="21" hidden="0" customWidth="1"/>
    <x:col min="4" max="4" width="21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1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Evaluation inputs and provenance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2" t="str">
        <x:v>One row per model and test dataset. TP/FN/FP/TN are recording counts.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7" t="str">
        <x:v>Evaluation</x:v>
      </x:c>
      <x:c r="B5" s="7" t="str">
        <x:v>Test dataset</x:v>
      </x:c>
      <x:c r="C5" s="7" t="str">
        <x:v>Model</x:v>
      </x:c>
      <x:c r="D5" s="7" t="str">
        <x:v>Training data</x:v>
      </x:c>
      <x:c r="E5" s="7" t="str">
        <x:v>Threshold</x:v>
      </x:c>
      <x:c r="F5" s="7" t="str">
        <x:v>TP</x:v>
      </x:c>
      <x:c r="G5" s="7" t="str">
        <x:v>FN</x:v>
      </x:c>
      <x:c r="H5" s="7" t="str">
        <x:v>FP</x:v>
      </x:c>
      <x:c r="I5" s="7" t="str">
        <x:v>TN</x:v>
      </x:c>
      <x:c r="J5" s="7" t="str">
        <x:v>Accuracy</x:v>
      </x:c>
      <x:c r="K5" s="7" t="str">
        <x:v>Precision</x:v>
      </x:c>
      <x:c r="L5" s="7" t="str">
        <x:v>Recall</x:v>
      </x:c>
      <x:c r="M5" s="7" t="str">
        <x:v>F1</x:v>
      </x:c>
      <x:c r="N5" s="7" t="str">
        <x:v>ROC AUC</x:v>
      </x:c>
      <x:c r="O5" s="7" t="str">
        <x:v>Evaluation source</x:v>
      </x:c>
    </x:row>
    <x:row r="6" ht="24" customHeight="1">
      <x:c r="A6" s="2" t="str">
        <x:v>Run #1</x:v>
      </x:c>
      <x:c r="B6" s="2" t="str">
        <x:v>Original test</x:v>
      </x:c>
      <x:c r="C6" s="2" t="str">
        <x:v>MobileNet V2</x:v>
      </x:c>
      <x:c r="D6" s="2" t="str">
        <x:v>Original data</x:v>
      </x:c>
      <x:c r="E6" s="13" t="n">
        <x:v>0.5</x:v>
      </x:c>
      <x:c r="F6" s="10" t="n">
        <x:v>519</x:v>
      </x:c>
      <x:c r="G6" s="10" t="n">
        <x:v>3</x:v>
      </x:c>
      <x:c r="H6" s="10" t="n">
        <x:v>3</x:v>
      </x:c>
      <x:c r="I6" s="10" t="n">
        <x:v>1157</x:v>
      </x:c>
      <x:c r="J6" s="11" t="n">
        <x:v>0.9964328180737217</x:v>
      </x:c>
      <x:c r="K6" s="11" t="n">
        <x:v>0.9942528735632183</x:v>
      </x:c>
      <x:c r="L6" s="11" t="n">
        <x:v>0.9942528735632183</x:v>
      </x:c>
      <x:c r="M6" s="11" t="n">
        <x:v>0.9942528735632183</x:v>
      </x:c>
      <x:c r="N6" s="12" t="n">
        <x:v>0.9999273351829833</x:v>
      </x:c>
      <x:c r="O6" s="23" t="str">
        <x:v>https://github.com/ivankao83/SDP/blob/main/Ivan%20Kao/%20Gunshot%20detection%20with%20spectrogram/reports/run2/run1_original.json</x:v>
      </x:c>
    </x:row>
    <x:row r="7" ht="24" customHeight="1">
      <x:c r="A7" s="24" t="str">
        <x:v>Run #2 before revision</x:v>
      </x:c>
      <x:c r="B7" s="24" t="str">
        <x:v>MAD test</x:v>
      </x:c>
      <x:c r="C7" s="24" t="str">
        <x:v>MobileNet V2</x:v>
      </x:c>
      <x:c r="D7" s="24" t="str">
        <x:v>Original data</x:v>
      </x:c>
      <x:c r="E7" s="25" t="n">
        <x:v>0.5</x:v>
      </x:c>
      <x:c r="F7" s="26" t="n">
        <x:v>8</x:v>
      </x:c>
      <x:c r="G7" s="26" t="n">
        <x:v>272</x:v>
      </x:c>
      <x:c r="H7" s="26" t="n">
        <x:v>9</x:v>
      </x:c>
      <x:c r="I7" s="26" t="n">
        <x:v>748</x:v>
      </x:c>
      <x:c r="J7" s="27" t="n">
        <x:v>0.7290260366441659</x:v>
      </x:c>
      <x:c r="K7" s="27" t="n">
        <x:v>0.47058823529411764</x:v>
      </x:c>
      <x:c r="L7" s="27" t="n">
        <x:v>0.02857142857142857</x:v>
      </x:c>
      <x:c r="M7" s="27" t="n">
        <x:v>0.05387205387205387</x:v>
      </x:c>
      <x:c r="N7" s="28" t="n">
        <x:v>0.6141064351764483</x:v>
      </x:c>
      <x:c r="O7" s="29" t="str">
        <x:v>https://github.com/ivankao83/SDP/blob/main/Ivan%20Kao/%20Gunshot%20detection%20with%20spectrogram/reports/run2/baseline_mad.json</x:v>
      </x:c>
    </x:row>
    <x:row r="8" ht="24" customHeight="1">
      <x:c r="A8" s="2" t="str">
        <x:v>MAD-only revision</x:v>
      </x:c>
      <x:c r="B8" s="2" t="str">
        <x:v>MAD test</x:v>
      </x:c>
      <x:c r="C8" s="2" t="str">
        <x:v>Compact CNN</x:v>
      </x:c>
      <x:c r="D8" s="2" t="str">
        <x:v>MAD only</x:v>
      </x:c>
      <x:c r="E8" s="13" t="n">
        <x:v>0.6</x:v>
      </x:c>
      <x:c r="F8" s="10" t="n">
        <x:v>238</x:v>
      </x:c>
      <x:c r="G8" s="10" t="n">
        <x:v>42</x:v>
      </x:c>
      <x:c r="H8" s="10" t="n">
        <x:v>21</x:v>
      </x:c>
      <x:c r="I8" s="10" t="n">
        <x:v>736</x:v>
      </x:c>
      <x:c r="J8" s="11" t="n">
        <x:v>0.9392478302796529</x:v>
      </x:c>
      <x:c r="K8" s="11" t="n">
        <x:v>0.918918918918919</x:v>
      </x:c>
      <x:c r="L8" s="11" t="n">
        <x:v>0.85</x:v>
      </x:c>
      <x:c r="M8" s="11" t="n">
        <x:v>0.8831168831168831</x:v>
      </x:c>
      <x:c r="N8" s="12" t="n">
        <x:v>0.9781090771843743</x:v>
      </x:c>
      <x:c r="O8" s="23" t="str">
        <x:v>https://github.com/ivankao83/SDP/blob/main/Ivan%20Kao/%20Gunshot%20detection%20with%20spectrogram/reports/run2/intermediate_mad.json</x:v>
      </x:c>
    </x:row>
    <x:row r="9" ht="24" customHeight="1">
      <x:c r="A9" s="24" t="str">
        <x:v>MAD-only revision</x:v>
      </x:c>
      <x:c r="B9" s="24" t="str">
        <x:v>Original test</x:v>
      </x:c>
      <x:c r="C9" s="24" t="str">
        <x:v>Compact CNN</x:v>
      </x:c>
      <x:c r="D9" s="24" t="str">
        <x:v>MAD only</x:v>
      </x:c>
      <x:c r="E9" s="25" t="n">
        <x:v>0.6</x:v>
      </x:c>
      <x:c r="F9" s="26" t="n">
        <x:v>86</x:v>
      </x:c>
      <x:c r="G9" s="26" t="n">
        <x:v>436</x:v>
      </x:c>
      <x:c r="H9" s="26" t="n">
        <x:v>113</x:v>
      </x:c>
      <x:c r="I9" s="26" t="n">
        <x:v>1047</x:v>
      </x:c>
      <x:c r="J9" s="27" t="n">
        <x:v>0.6736028537455411</x:v>
      </x:c>
      <x:c r="K9" s="27" t="n">
        <x:v>0.4321608040201005</x:v>
      </x:c>
      <x:c r="L9" s="27" t="n">
        <x:v>0.16475095785440613</x:v>
      </x:c>
      <x:c r="M9" s="27" t="n">
        <x:v>0.23855755894590847</x:v>
      </x:c>
      <x:c r="N9" s="28" t="n">
        <x:v>0.8165824415378518</x:v>
      </x:c>
      <x:c r="O9" s="29" t="str">
        <x:v>https://github.com/ivankao83/SDP/blob/main/Ivan%20Kao/%20Gunshot%20detection%20with%20spectrogram/reports/run2/intermediate_original.json</x:v>
      </x:c>
    </x:row>
    <x:row r="10" ht="24" customHeight="1">
      <x:c r="A10" s="2" t="str">
        <x:v>Run #2 after revision</x:v>
      </x:c>
      <x:c r="B10" s="2" t="str">
        <x:v>MAD test</x:v>
      </x:c>
      <x:c r="C10" s="2" t="str">
        <x:v>Compact CNN</x:v>
      </x:c>
      <x:c r="D10" s="2" t="str">
        <x:v>Original + MAD</x:v>
      </x:c>
      <x:c r="E10" s="13" t="n">
        <x:v>0.8099999999999999</x:v>
      </x:c>
      <x:c r="F10" s="10" t="n">
        <x:v>249</x:v>
      </x:c>
      <x:c r="G10" s="10" t="n">
        <x:v>31</x:v>
      </x:c>
      <x:c r="H10" s="10" t="n">
        <x:v>26</x:v>
      </x:c>
      <x:c r="I10" s="10" t="n">
        <x:v>731</x:v>
      </x:c>
      <x:c r="J10" s="11" t="n">
        <x:v>0.9450337512054002</x:v>
      </x:c>
      <x:c r="K10" s="11" t="n">
        <x:v>0.9054545454545454</x:v>
      </x:c>
      <x:c r="L10" s="11" t="n">
        <x:v>0.8892857142857142</x:v>
      </x:c>
      <x:c r="M10" s="11" t="n">
        <x:v>0.8972972972972973</x:v>
      </x:c>
      <x:c r="N10" s="12" t="n">
        <x:v>0.98135025476505</x:v>
      </x:c>
      <x:c r="O10" s="23" t="str">
        <x:v>https://github.com/ivankao83/SDP/blob/main/Ivan%20Kao/%20Gunshot%20detection%20with%20spectrogram/reports/run2/test_mad.json</x:v>
      </x:c>
    </x:row>
    <x:row r="11" ht="24" customHeight="1">
      <x:c r="A11" s="24" t="str">
        <x:v>Run #2 after revision</x:v>
      </x:c>
      <x:c r="B11" s="24" t="str">
        <x:v>Original test</x:v>
      </x:c>
      <x:c r="C11" s="24" t="str">
        <x:v>Compact CNN</x:v>
      </x:c>
      <x:c r="D11" s="24" t="str">
        <x:v>Original + MAD</x:v>
      </x:c>
      <x:c r="E11" s="25" t="n">
        <x:v>0.8099999999999999</x:v>
      </x:c>
      <x:c r="F11" s="26" t="n">
        <x:v>522</x:v>
      </x:c>
      <x:c r="G11" s="26" t="n">
        <x:v>0</x:v>
      </x:c>
      <x:c r="H11" s="26" t="n">
        <x:v>1</x:v>
      </x:c>
      <x:c r="I11" s="26" t="n">
        <x:v>1159</x:v>
      </x:c>
      <x:c r="J11" s="27" t="n">
        <x:v>0.9994054696789536</x:v>
      </x:c>
      <x:c r="K11" s="27" t="n">
        <x:v>0.9980879541108987</x:v>
      </x:c>
      <x:c r="L11" s="27" t="n">
        <x:v>1</x:v>
      </x:c>
      <x:c r="M11" s="27" t="n">
        <x:v>0.999043062200957</x:v>
      </x:c>
      <x:c r="N11" s="28" t="n">
        <x:v>0.9999818337957458</x:v>
      </x:c>
      <x:c r="O11" s="29" t="str">
        <x:v>https://github.com/ivankao83/SDP/blob/main/Ivan%20Kao/%20Gunshot%20detection%20with%20spectrogram/reports/run2/test_original.json</x:v>
      </x:c>
    </x:row>
  </x:sheetData>
  <x:pageMargins left="0.7" right="0.7" top="0.75" bottom="0.75" header="0.3" footer="0.3"/>
</x:worksheet>
</file>